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aaudk.sharepoint.com/sites/PBLMEDDAKI2025-P0/Delte dokumenter/DAKI7/"/>
    </mc:Choice>
  </mc:AlternateContent>
  <xr:revisionPtr revIDLastSave="3034" documentId="11_9544814A06FCF23813560F9FD6C2150F2BED410E" xr6:coauthVersionLast="47" xr6:coauthVersionMax="47" xr10:uidLastSave="{6E65C6F1-2490-4D85-AC8F-022279455C42}"/>
  <bookViews>
    <workbookView xWindow="-108" yWindow="-108" windowWidth="23256" windowHeight="12456" activeTab="4" xr2:uid="{00000000-000D-0000-FFFF-FFFF00000000}"/>
  </bookViews>
  <sheets>
    <sheet name="Ark1" sheetId="1" r:id="rId1"/>
    <sheet name="Hue graf" sheetId="7" r:id="rId2"/>
    <sheet name="RANDOM TRÆNINGS SÆT" sheetId="3" r:id="rId3"/>
    <sheet name="%" sheetId="4" r:id="rId4"/>
    <sheet name="test %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8" l="1"/>
  <c r="F127" i="4"/>
  <c r="R16" i="8"/>
  <c r="J26" i="8"/>
  <c r="I30" i="8" s="1"/>
  <c r="L26" i="8"/>
  <c r="N26" i="8"/>
  <c r="K23" i="8"/>
  <c r="I21" i="8"/>
  <c r="J22" i="8"/>
  <c r="H20" i="8"/>
  <c r="P29" i="8" s="1"/>
  <c r="L24" i="8"/>
  <c r="J33" i="8" s="1"/>
  <c r="U12" i="4"/>
  <c r="T12" i="4"/>
  <c r="O18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2" i="8"/>
  <c r="M25" i="8"/>
  <c r="B24" i="8"/>
  <c r="B21" i="8"/>
  <c r="B20" i="8"/>
  <c r="B22" i="8" s="1"/>
  <c r="D38" i="7"/>
  <c r="D37" i="7"/>
  <c r="D36" i="7"/>
  <c r="D35" i="7"/>
  <c r="D34" i="7"/>
  <c r="D33" i="7"/>
  <c r="D32" i="7"/>
  <c r="D31" i="7"/>
  <c r="D6" i="7"/>
  <c r="D7" i="7"/>
  <c r="D13" i="7"/>
  <c r="D12" i="7"/>
  <c r="D11" i="7"/>
  <c r="D10" i="7"/>
  <c r="D8" i="7"/>
  <c r="D9" i="7"/>
  <c r="C123" i="4"/>
  <c r="Q26" i="8" l="1"/>
  <c r="D2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tc={A6F8CD59-D24A-457E-9CF8-251A3A14EDCF}</author>
  </authors>
  <commentList>
    <comment ref="P8" authorId="0" shapeId="0" xr:uid="{A6F8CD59-D24A-457E-9CF8-251A3A14EDCF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slot i vejen, før 150</t>
      </text>
    </comment>
  </commentList>
</comments>
</file>

<file path=xl/sharedStrings.xml><?xml version="1.0" encoding="utf-8"?>
<sst xmlns="http://schemas.openxmlformats.org/spreadsheetml/2006/main" count="1383" uniqueCount="334">
  <si>
    <t>mean</t>
  </si>
  <si>
    <t>Grass H1</t>
  </si>
  <si>
    <t>Grass S1</t>
  </si>
  <si>
    <t>Grass V1</t>
  </si>
  <si>
    <t>Forest H1</t>
  </si>
  <si>
    <t>Forest S1</t>
  </si>
  <si>
    <t>Forest V1</t>
  </si>
  <si>
    <t>Lake H1</t>
  </si>
  <si>
    <t>Lake S1</t>
  </si>
  <si>
    <t>Lake V1</t>
  </si>
  <si>
    <t>Mine H</t>
  </si>
  <si>
    <t>Mine S</t>
  </si>
  <si>
    <t>Mine V</t>
  </si>
  <si>
    <t>Field H</t>
  </si>
  <si>
    <t>Field S</t>
  </si>
  <si>
    <t>Field V</t>
  </si>
  <si>
    <t>Swamp H</t>
  </si>
  <si>
    <t>Swamp S</t>
  </si>
  <si>
    <t>Swamp V</t>
  </si>
  <si>
    <t>Empty H</t>
  </si>
  <si>
    <t>Empty S</t>
  </si>
  <si>
    <t>Empty V</t>
  </si>
  <si>
    <t>min</t>
  </si>
  <si>
    <t>max</t>
  </si>
  <si>
    <t>median</t>
  </si>
  <si>
    <t>home H</t>
  </si>
  <si>
    <t>home S</t>
  </si>
  <si>
    <t>home V</t>
  </si>
  <si>
    <t>104 måske 78</t>
  </si>
  <si>
    <t>Ivan</t>
  </si>
  <si>
    <t>Tile</t>
  </si>
  <si>
    <t>Min_Hue</t>
  </si>
  <si>
    <t>Max_Hue</t>
  </si>
  <si>
    <t>Span (=Max-Min)</t>
  </si>
  <si>
    <t>Grass</t>
  </si>
  <si>
    <t>Forest</t>
  </si>
  <si>
    <t>Lake</t>
  </si>
  <si>
    <t>Mine</t>
  </si>
  <si>
    <t>Field</t>
  </si>
  <si>
    <t>Swamp</t>
  </si>
  <si>
    <t>Empty</t>
  </si>
  <si>
    <t>Home</t>
  </si>
  <si>
    <t>Trænings-sæt</t>
  </si>
  <si>
    <t>test-sæt</t>
  </si>
  <si>
    <t>Billede 1</t>
  </si>
  <si>
    <t>Grass %</t>
  </si>
  <si>
    <t>Field %</t>
  </si>
  <si>
    <t>Forest %</t>
  </si>
  <si>
    <t>Lake %</t>
  </si>
  <si>
    <t>Swamp %</t>
  </si>
  <si>
    <t>Mine %</t>
  </si>
  <si>
    <t>Home %</t>
  </si>
  <si>
    <t>Empty %</t>
  </si>
  <si>
    <t>25/25</t>
  </si>
  <si>
    <t>9/9R</t>
  </si>
  <si>
    <t>1/1R</t>
  </si>
  <si>
    <t>8/8R</t>
  </si>
  <si>
    <t>4/4R</t>
  </si>
  <si>
    <t>2/2R</t>
  </si>
  <si>
    <t>0/0R</t>
  </si>
  <si>
    <t>Billede 2</t>
  </si>
  <si>
    <t>H/S</t>
  </si>
  <si>
    <t>24/25</t>
  </si>
  <si>
    <t>12/12R</t>
  </si>
  <si>
    <t>10/10R</t>
  </si>
  <si>
    <t>7/7R</t>
  </si>
  <si>
    <t>5/5R</t>
  </si>
  <si>
    <t>1/2R</t>
  </si>
  <si>
    <t>Billede 3</t>
  </si>
  <si>
    <t>17/17R</t>
  </si>
  <si>
    <t>20/20R</t>
  </si>
  <si>
    <t>6/6R</t>
  </si>
  <si>
    <t>2/3R</t>
  </si>
  <si>
    <t>Billede 4</t>
  </si>
  <si>
    <t>14/14R</t>
  </si>
  <si>
    <t>28/28R</t>
  </si>
  <si>
    <t>18/18R</t>
  </si>
  <si>
    <t>3/4R</t>
  </si>
  <si>
    <t>Billede 5</t>
  </si>
  <si>
    <t>H/F</t>
  </si>
  <si>
    <t>23/23R</t>
  </si>
  <si>
    <t>29/29R</t>
  </si>
  <si>
    <t>22/22R</t>
  </si>
  <si>
    <t>11/11R</t>
  </si>
  <si>
    <t>3/5R</t>
  </si>
  <si>
    <t>Billede 6</t>
  </si>
  <si>
    <t>H/M</t>
  </si>
  <si>
    <t>26/26R</t>
  </si>
  <si>
    <t>38/38R</t>
  </si>
  <si>
    <t>17/17</t>
  </si>
  <si>
    <t>10/11R</t>
  </si>
  <si>
    <t>3/6R</t>
  </si>
  <si>
    <t>Billede 7</t>
  </si>
  <si>
    <t>H/Fo</t>
  </si>
  <si>
    <t>24/25 H</t>
  </si>
  <si>
    <t>43/43R</t>
  </si>
  <si>
    <t>40/40R</t>
  </si>
  <si>
    <t>18/18r</t>
  </si>
  <si>
    <t>11/12R</t>
  </si>
  <si>
    <t>3/7R</t>
  </si>
  <si>
    <t>Billede 8</t>
  </si>
  <si>
    <t>54/54R</t>
  </si>
  <si>
    <t>42/42R</t>
  </si>
  <si>
    <t>36/36R</t>
  </si>
  <si>
    <t>19/19R</t>
  </si>
  <si>
    <t>3/8R</t>
  </si>
  <si>
    <t>test-sæt - IKKE RØRE</t>
  </si>
  <si>
    <t>Billede 9</t>
  </si>
  <si>
    <t>32/32R</t>
  </si>
  <si>
    <t>65/65R</t>
  </si>
  <si>
    <t>12/13R</t>
  </si>
  <si>
    <t>4/9R</t>
  </si>
  <si>
    <t>Billede 10</t>
  </si>
  <si>
    <t>H/M + 2x(E/Fi)</t>
  </si>
  <si>
    <t>22/25 2xE+H</t>
  </si>
  <si>
    <t>69/69R</t>
  </si>
  <si>
    <t>48/48R</t>
  </si>
  <si>
    <t>25/25R</t>
  </si>
  <si>
    <t>15/16</t>
  </si>
  <si>
    <t>4/10R</t>
  </si>
  <si>
    <t>2/4R</t>
  </si>
  <si>
    <t>Billede 11</t>
  </si>
  <si>
    <t>2x(E/Fi)</t>
  </si>
  <si>
    <t>23/25 2xE</t>
  </si>
  <si>
    <t>35/35R</t>
  </si>
  <si>
    <t>73/73R</t>
  </si>
  <si>
    <t>60/60R</t>
  </si>
  <si>
    <t>46/46R</t>
  </si>
  <si>
    <t>15/16R</t>
  </si>
  <si>
    <t>5/11R</t>
  </si>
  <si>
    <t>2/6R</t>
  </si>
  <si>
    <t>Billede 12</t>
  </si>
  <si>
    <t>77/77R</t>
  </si>
  <si>
    <t>62/62R</t>
  </si>
  <si>
    <t>52/52R</t>
  </si>
  <si>
    <t>6/12R</t>
  </si>
  <si>
    <t>2/8R</t>
  </si>
  <si>
    <t>Billede 13</t>
  </si>
  <si>
    <t>88/88R</t>
  </si>
  <si>
    <t>63/63R</t>
  </si>
  <si>
    <t>31/31R</t>
  </si>
  <si>
    <t>16/17R</t>
  </si>
  <si>
    <t>6/13R</t>
  </si>
  <si>
    <t>Billede 14</t>
  </si>
  <si>
    <t>H/Fo + 2x(E/Fi)</t>
  </si>
  <si>
    <t>92/92R</t>
  </si>
  <si>
    <t>68/68R</t>
  </si>
  <si>
    <t>61/61R</t>
  </si>
  <si>
    <t>34/34R</t>
  </si>
  <si>
    <t>19/20R</t>
  </si>
  <si>
    <t>6/14R</t>
  </si>
  <si>
    <t>4/12R</t>
  </si>
  <si>
    <t>Billede 15</t>
  </si>
  <si>
    <t>49/49R</t>
  </si>
  <si>
    <t>96/96R</t>
  </si>
  <si>
    <t>80/80R</t>
  </si>
  <si>
    <t>64/64R</t>
  </si>
  <si>
    <t>6/15R</t>
  </si>
  <si>
    <t>4/14R</t>
  </si>
  <si>
    <t>Billede 16</t>
  </si>
  <si>
    <t>56/56R</t>
  </si>
  <si>
    <t>100/100R</t>
  </si>
  <si>
    <t>82/82R</t>
  </si>
  <si>
    <t>70/70R</t>
  </si>
  <si>
    <t>37/37R</t>
  </si>
  <si>
    <t>6/16R</t>
  </si>
  <si>
    <t>4/16R</t>
  </si>
  <si>
    <t>Billede 18</t>
  </si>
  <si>
    <t>H/FO + 2x(E/Fi)</t>
  </si>
  <si>
    <t>57/57R</t>
  </si>
  <si>
    <t>106/106R</t>
  </si>
  <si>
    <t>94/94R</t>
  </si>
  <si>
    <t>6/17R</t>
  </si>
  <si>
    <t>4/18R</t>
  </si>
  <si>
    <t>Billede 20</t>
  </si>
  <si>
    <t>3/3R</t>
  </si>
  <si>
    <t>Billede 21</t>
  </si>
  <si>
    <t>H/FO</t>
  </si>
  <si>
    <t>23/25R F/G+H</t>
  </si>
  <si>
    <t>0/1R</t>
  </si>
  <si>
    <t>Billede 22</t>
  </si>
  <si>
    <t>H/FO  + 2X (E/FI)</t>
  </si>
  <si>
    <t>0/2R</t>
  </si>
  <si>
    <t>Billede 23</t>
  </si>
  <si>
    <t>24/25 + H</t>
  </si>
  <si>
    <t>Billede 24</t>
  </si>
  <si>
    <t>Billede 25</t>
  </si>
  <si>
    <t>24/25 M/S</t>
  </si>
  <si>
    <t>Billede 27</t>
  </si>
  <si>
    <t>Billede 29</t>
  </si>
  <si>
    <t>Billede 31</t>
  </si>
  <si>
    <t>0/0</t>
  </si>
  <si>
    <t>Billede 32</t>
  </si>
  <si>
    <t xml:space="preserve">25/25 </t>
  </si>
  <si>
    <t>Billede 34</t>
  </si>
  <si>
    <t>Billede 35</t>
  </si>
  <si>
    <t>H/U</t>
  </si>
  <si>
    <t>24/25 H/U</t>
  </si>
  <si>
    <t>Billede 36</t>
  </si>
  <si>
    <t>Billede 37</t>
  </si>
  <si>
    <t>Billede 38</t>
  </si>
  <si>
    <t>Billede 40</t>
  </si>
  <si>
    <t>25/25 R</t>
  </si>
  <si>
    <t>Billede 41</t>
  </si>
  <si>
    <t>Billede 42</t>
  </si>
  <si>
    <t>1/1 R</t>
  </si>
  <si>
    <t>Billede 43</t>
  </si>
  <si>
    <t>25/24</t>
  </si>
  <si>
    <t>Billede 44</t>
  </si>
  <si>
    <t>Billede 45</t>
  </si>
  <si>
    <t>Billede 47</t>
  </si>
  <si>
    <t>Billede 48</t>
  </si>
  <si>
    <t>Billede 50</t>
  </si>
  <si>
    <t>Billede 52</t>
  </si>
  <si>
    <t>Billede 53</t>
  </si>
  <si>
    <t>23/25 H+M/U</t>
  </si>
  <si>
    <t>Billede 55</t>
  </si>
  <si>
    <t>Billede 57</t>
  </si>
  <si>
    <t>Billede 58</t>
  </si>
  <si>
    <t>Billede 59</t>
  </si>
  <si>
    <t>Billede 60</t>
  </si>
  <si>
    <t>Billede 61</t>
  </si>
  <si>
    <t>Billede 62</t>
  </si>
  <si>
    <t>H/E</t>
  </si>
  <si>
    <t>Billede 63</t>
  </si>
  <si>
    <t>Billede 66</t>
  </si>
  <si>
    <t>Billede 67</t>
  </si>
  <si>
    <t>Billede 68</t>
  </si>
  <si>
    <t>Billede 69</t>
  </si>
  <si>
    <t>Billede 71</t>
  </si>
  <si>
    <t>24/25 R</t>
  </si>
  <si>
    <t>Billede 72</t>
  </si>
  <si>
    <t>Billede 73</t>
  </si>
  <si>
    <t>23/25 M/S + H</t>
  </si>
  <si>
    <t>Billede 74</t>
  </si>
  <si>
    <t>15/15R</t>
  </si>
  <si>
    <t>59 Observationer</t>
  </si>
  <si>
    <t>37 med 24/25</t>
  </si>
  <si>
    <t>6 med 23/25</t>
  </si>
  <si>
    <t>208/208</t>
  </si>
  <si>
    <t>383/383</t>
  </si>
  <si>
    <t>306/307</t>
  </si>
  <si>
    <t>245/245</t>
  </si>
  <si>
    <t>148/148</t>
  </si>
  <si>
    <t>86/89</t>
  </si>
  <si>
    <t>12/59</t>
  </si>
  <si>
    <t>10/26R</t>
  </si>
  <si>
    <t>10 med 25/25</t>
  </si>
  <si>
    <t>6 med 22/25</t>
  </si>
  <si>
    <t>23/25 M/S+H</t>
  </si>
  <si>
    <t>G</t>
  </si>
  <si>
    <t>L</t>
  </si>
  <si>
    <t>Fo</t>
  </si>
  <si>
    <t>Fi</t>
  </si>
  <si>
    <t>M</t>
  </si>
  <si>
    <t>S</t>
  </si>
  <si>
    <t>H</t>
  </si>
  <si>
    <t>U</t>
  </si>
  <si>
    <t>E</t>
  </si>
  <si>
    <t>Ground Truth --&gt;</t>
  </si>
  <si>
    <t>Predicted</t>
  </si>
  <si>
    <t xml:space="preserve">                 I</t>
  </si>
  <si>
    <t xml:space="preserve">                V</t>
  </si>
  <si>
    <t>Hue</t>
  </si>
  <si>
    <t>Saturation</t>
  </si>
  <si>
    <t>Value</t>
  </si>
  <si>
    <t>H: 23.0, S: 127.0, V: 114.0</t>
  </si>
  <si>
    <t>H: 23.0, S: 132.0, V: 116.0</t>
  </si>
  <si>
    <t>Min_Sat</t>
  </si>
  <si>
    <t>Max_Sat</t>
  </si>
  <si>
    <t>100%</t>
  </si>
  <si>
    <t>99.7%</t>
  </si>
  <si>
    <t>20%</t>
  </si>
  <si>
    <t>38%</t>
  </si>
  <si>
    <t>96.7%</t>
  </si>
  <si>
    <t>Terrain</t>
  </si>
  <si>
    <t>11 fejl</t>
  </si>
  <si>
    <t>36 fejl</t>
  </si>
  <si>
    <t>alt 47 fejl</t>
  </si>
  <si>
    <t>47/59</t>
  </si>
  <si>
    <t>24/25R H/U</t>
  </si>
  <si>
    <t>24/25R H/Fo</t>
  </si>
  <si>
    <t>M-&gt;S, H-&gt;S</t>
  </si>
  <si>
    <t>H-&gt;Swamp</t>
  </si>
  <si>
    <t>H-&gt;S</t>
  </si>
  <si>
    <t>H-&gt;U</t>
  </si>
  <si>
    <t>H-&gt;Fo</t>
  </si>
  <si>
    <t>Fo-&gt;Grass</t>
  </si>
  <si>
    <t>24/25R</t>
  </si>
  <si>
    <t>23/25R H/Fo og Empty/Field</t>
  </si>
  <si>
    <t>24/25R H/Swamp</t>
  </si>
  <si>
    <t>23/25R</t>
  </si>
  <si>
    <t>23/25R H/Swamp + Grass/Fo</t>
  </si>
  <si>
    <t>H-&gt;Fo, Grass-&gt;Fo, Fo-&gt;Unknown</t>
  </si>
  <si>
    <t xml:space="preserve">22/25R </t>
  </si>
  <si>
    <t>I alt</t>
  </si>
  <si>
    <t>rigtige</t>
  </si>
  <si>
    <t>fejl</t>
  </si>
  <si>
    <t>%</t>
  </si>
  <si>
    <t>tiles</t>
  </si>
  <si>
    <t>succesrate</t>
  </si>
  <si>
    <t>H-&gt;S, G-&gt;Fo</t>
  </si>
  <si>
    <t>22/25R L-&gt;U og H-&gt;M og M-&gt;s</t>
  </si>
  <si>
    <t>No.</t>
  </si>
  <si>
    <t>krav</t>
  </si>
  <si>
    <t>hvordan tester vi det</t>
  </si>
  <si>
    <t>Must Have</t>
  </si>
  <si>
    <t>Koden skrives i Python</t>
  </si>
  <si>
    <t>Tjek</t>
  </si>
  <si>
    <t xml:space="preserve">Importere bibliotekerne: cv2, numpy, og os </t>
  </si>
  <si>
    <t xml:space="preserve">Indlæse et jpg billede </t>
  </si>
  <si>
    <t xml:space="preserve">Opdele billedet i 25 felter </t>
  </si>
  <si>
    <t>Bruge HSV til at aflæse vores billede</t>
  </si>
  <si>
    <t>Should Have</t>
  </si>
  <si>
    <t>Det skal tage 5 sekunder at analysere billedet og kategorisere de 25 felter</t>
  </si>
  <si>
    <t>Test koden</t>
  </si>
  <si>
    <t>Programmet skal kunne kategorisere alle 25 terræn typer på en hel spilplade 99 gange ud af 100</t>
  </si>
  <si>
    <t>confusion matrix</t>
  </si>
  <si>
    <t>Could Have</t>
  </si>
  <si>
    <t>Informere om det totale antal af hver tæring type på spillepladen.</t>
  </si>
  <si>
    <t>Won't Have</t>
  </si>
  <si>
    <t>Skal kunne opfange kronerne</t>
  </si>
  <si>
    <t xml:space="preserve">Printer antal af kroner </t>
  </si>
  <si>
    <t xml:space="preserve">Gøre brug af mere avanceret AI, som ML og Deep Learning </t>
  </si>
  <si>
    <t xml:space="preserve">Bruge knn eller andre modeller </t>
  </si>
  <si>
    <t>Det skal være brugervenligt, via en app hvor man kan uploade et billede.</t>
  </si>
  <si>
    <t>Downloade app i google play</t>
  </si>
  <si>
    <t>gamle rækkefølge</t>
  </si>
  <si>
    <t>nye rækkefølge</t>
  </si>
  <si>
    <t>Grassland</t>
  </si>
  <si>
    <t>h-&gt;U</t>
  </si>
  <si>
    <t>H-&gt;Fo  F-&gt;E</t>
  </si>
  <si>
    <t>H-&gt;M, L-&gt;U   M-&gt;s</t>
  </si>
  <si>
    <t>mine/rød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</si>
</sst>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.&quot;_-;\-* #,##0.00\ &quot;kr.&quot;_-;_-* &quot;-&quot;??\ &quot;kr.&quot;_-;_-@_-"/>
  </numFmts>
  <fonts count="15" x14ac:knownFonts="1">
    <font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18"/>
      <color theme="1"/>
      <name val="Segoe UI"/>
      <family val="2"/>
    </font>
    <font>
      <sz val="9.6"/>
      <color theme="1"/>
      <name val="Segoe UI"/>
    </font>
    <font>
      <b/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5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27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3" borderId="2" xfId="0" applyFont="1" applyFill="1" applyBorder="1" applyAlignment="1">
      <alignment horizontal="right" vertical="center" wrapText="1"/>
    </xf>
    <xf numFmtId="0" fontId="1" fillId="6" borderId="2" xfId="0" applyFont="1" applyFill="1" applyBorder="1" applyAlignment="1">
      <alignment vertical="center" wrapText="1"/>
    </xf>
    <xf numFmtId="49" fontId="0" fillId="0" borderId="0" xfId="0" applyNumberFormat="1"/>
    <xf numFmtId="49" fontId="4" fillId="0" borderId="1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0" fillId="6" borderId="0" xfId="0" applyNumberFormat="1" applyFill="1"/>
    <xf numFmtId="0" fontId="5" fillId="0" borderId="0" xfId="0" applyFont="1"/>
    <xf numFmtId="0" fontId="0" fillId="0" borderId="0" xfId="0" quotePrefix="1"/>
    <xf numFmtId="0" fontId="1" fillId="0" borderId="1" xfId="0" applyFont="1" applyBorder="1" applyAlignment="1">
      <alignment horizontal="left" vertical="top" wrapText="1"/>
    </xf>
    <xf numFmtId="0" fontId="0" fillId="10" borderId="0" xfId="0" applyFill="1"/>
    <xf numFmtId="0" fontId="1" fillId="0" borderId="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6" fillId="0" borderId="13" xfId="0" applyFont="1" applyBorder="1" applyAlignment="1">
      <alignment horizontal="left" vertical="top" wrapText="1"/>
    </xf>
    <xf numFmtId="0" fontId="1" fillId="4" borderId="16" xfId="0" applyFont="1" applyFill="1" applyBorder="1" applyAlignment="1">
      <alignment vertical="center" wrapText="1"/>
    </xf>
    <xf numFmtId="0" fontId="1" fillId="11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vertical="center" wrapText="1"/>
    </xf>
    <xf numFmtId="0" fontId="1" fillId="9" borderId="16" xfId="0" applyFont="1" applyFill="1" applyBorder="1" applyAlignment="1">
      <alignment vertical="center" wrapText="1"/>
    </xf>
    <xf numFmtId="0" fontId="1" fillId="7" borderId="16" xfId="0" applyFont="1" applyFill="1" applyBorder="1" applyAlignment="1">
      <alignment vertical="center" wrapText="1"/>
    </xf>
    <xf numFmtId="0" fontId="1" fillId="8" borderId="16" xfId="0" applyFont="1" applyFill="1" applyBorder="1" applyAlignment="1">
      <alignment vertical="center" wrapText="1"/>
    </xf>
    <xf numFmtId="0" fontId="1" fillId="13" borderId="17" xfId="0" applyFont="1" applyFill="1" applyBorder="1" applyAlignment="1">
      <alignment vertical="center" wrapText="1"/>
    </xf>
    <xf numFmtId="0" fontId="6" fillId="7" borderId="18" xfId="0" applyFont="1" applyFill="1" applyBorder="1" applyAlignment="1">
      <alignment horizontal="left" vertical="top" wrapText="1"/>
    </xf>
    <xf numFmtId="0" fontId="6" fillId="8" borderId="18" xfId="0" applyFont="1" applyFill="1" applyBorder="1" applyAlignment="1">
      <alignment horizontal="left" vertical="top" wrapText="1"/>
    </xf>
    <xf numFmtId="0" fontId="0" fillId="13" borderId="18" xfId="0" applyFill="1" applyBorder="1"/>
    <xf numFmtId="0" fontId="6" fillId="0" borderId="19" xfId="0" applyFont="1" applyBorder="1" applyAlignment="1">
      <alignment horizontal="left" vertical="top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9" borderId="15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4" fillId="12" borderId="15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4" fillId="11" borderId="15" xfId="0" applyFont="1" applyFill="1" applyBorder="1" applyAlignment="1">
      <alignment horizontal="left" vertical="top" wrapText="1"/>
    </xf>
    <xf numFmtId="0" fontId="0" fillId="12" borderId="0" xfId="0" applyFill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3" fontId="0" fillId="0" borderId="0" xfId="0" applyNumberFormat="1"/>
    <xf numFmtId="0" fontId="1" fillId="2" borderId="3" xfId="0" applyFont="1" applyFill="1" applyBorder="1" applyAlignment="1">
      <alignment vertical="center" wrapText="1"/>
    </xf>
    <xf numFmtId="0" fontId="4" fillId="0" borderId="13" xfId="0" applyFont="1" applyBorder="1" applyAlignment="1">
      <alignment horizontal="left" vertical="top" wrapText="1"/>
    </xf>
    <xf numFmtId="0" fontId="4" fillId="7" borderId="18" xfId="0" applyFont="1" applyFill="1" applyBorder="1" applyAlignment="1">
      <alignment horizontal="left" vertical="top" wrapText="1"/>
    </xf>
    <xf numFmtId="0" fontId="4" fillId="8" borderId="18" xfId="0" applyFont="1" applyFill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4" fillId="4" borderId="16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11" borderId="16" xfId="0" applyFont="1" applyFill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12" borderId="16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0" fontId="4" fillId="9" borderId="16" xfId="0" applyFont="1" applyFill="1" applyBorder="1" applyAlignment="1">
      <alignment vertical="center" wrapText="1"/>
    </xf>
    <xf numFmtId="0" fontId="4" fillId="8" borderId="16" xfId="0" applyFont="1" applyFill="1" applyBorder="1" applyAlignment="1">
      <alignment vertical="center" wrapText="1"/>
    </xf>
    <xf numFmtId="0" fontId="4" fillId="13" borderId="17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4" borderId="29" xfId="0" applyFont="1" applyFill="1" applyBorder="1" applyAlignment="1">
      <alignment horizontal="left" vertical="top" wrapText="1"/>
    </xf>
    <xf numFmtId="0" fontId="4" fillId="11" borderId="18" xfId="0" applyFont="1" applyFill="1" applyBorder="1" applyAlignment="1">
      <alignment horizontal="left" vertical="top" wrapText="1"/>
    </xf>
    <xf numFmtId="0" fontId="4" fillId="12" borderId="18" xfId="0" applyFont="1" applyFill="1" applyBorder="1" applyAlignment="1">
      <alignment horizontal="left" vertical="top" wrapText="1"/>
    </xf>
    <xf numFmtId="0" fontId="4" fillId="6" borderId="18" xfId="0" applyFont="1" applyFill="1" applyBorder="1" applyAlignment="1">
      <alignment horizontal="left" vertical="top" wrapText="1"/>
    </xf>
    <xf numFmtId="0" fontId="4" fillId="9" borderId="18" xfId="0" applyFont="1" applyFill="1" applyBorder="1" applyAlignment="1">
      <alignment horizontal="left" vertical="top" wrapText="1"/>
    </xf>
    <xf numFmtId="0" fontId="7" fillId="0" borderId="5" xfId="0" applyFont="1" applyBorder="1"/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15" borderId="35" xfId="0" applyFont="1" applyFill="1" applyBorder="1" applyAlignment="1">
      <alignment horizontal="center" vertical="center" wrapText="1"/>
    </xf>
    <xf numFmtId="0" fontId="10" fillId="15" borderId="36" xfId="0" applyFont="1" applyFill="1" applyBorder="1" applyAlignment="1">
      <alignment horizontal="center" vertical="center" wrapText="1"/>
    </xf>
    <xf numFmtId="0" fontId="10" fillId="15" borderId="3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11" fillId="0" borderId="9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8" xfId="0" applyFont="1" applyBorder="1"/>
    <xf numFmtId="0" fontId="11" fillId="0" borderId="10" xfId="0" applyFont="1" applyBorder="1" applyAlignment="1">
      <alignment vertical="center" wrapText="1"/>
    </xf>
    <xf numFmtId="0" fontId="4" fillId="13" borderId="6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13" borderId="9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2" fontId="0" fillId="0" borderId="0" xfId="0" applyNumberFormat="1"/>
    <xf numFmtId="2" fontId="0" fillId="0" borderId="0" xfId="1" applyNumberFormat="1" applyFont="1"/>
    <xf numFmtId="0" fontId="0" fillId="3" borderId="0" xfId="0" applyFill="1"/>
    <xf numFmtId="0" fontId="10" fillId="14" borderId="35" xfId="0" applyFont="1" applyFill="1" applyBorder="1" applyAlignment="1">
      <alignment horizontal="center" vertical="center" wrapText="1"/>
    </xf>
    <xf numFmtId="0" fontId="10" fillId="14" borderId="36" xfId="0" applyFont="1" applyFill="1" applyBorder="1" applyAlignment="1">
      <alignment horizontal="center" vertical="center" wrapText="1"/>
    </xf>
    <xf numFmtId="0" fontId="10" fillId="14" borderId="31" xfId="0" applyFont="1" applyFill="1" applyBorder="1" applyAlignment="1">
      <alignment horizontal="center" vertical="center" wrapText="1"/>
    </xf>
    <xf numFmtId="0" fontId="10" fillId="6" borderId="35" xfId="0" applyFont="1" applyFill="1" applyBorder="1" applyAlignment="1">
      <alignment horizontal="center" vertical="center" wrapText="1"/>
    </xf>
    <xf numFmtId="0" fontId="10" fillId="6" borderId="36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16" borderId="35" xfId="0" applyFont="1" applyFill="1" applyBorder="1" applyAlignment="1">
      <alignment horizontal="center" vertical="center" wrapText="1"/>
    </xf>
    <xf numFmtId="0" fontId="10" fillId="16" borderId="36" xfId="0" applyFont="1" applyFill="1" applyBorder="1" applyAlignment="1">
      <alignment horizontal="center" vertical="center" wrapText="1"/>
    </xf>
    <xf numFmtId="0" fontId="10" fillId="16" borderId="31" xfId="0" applyFont="1" applyFill="1" applyBorder="1" applyAlignment="1">
      <alignment horizontal="center" vertical="center" wrapText="1"/>
    </xf>
  </cellXfs>
  <cellStyles count="2">
    <cellStyle name="Normal" xfId="0" builtinId="0"/>
    <cellStyle name="Valuta" xfId="1" builtinId="4"/>
  </cellStyles>
  <dxfs count="0"/>
  <tableStyles count="0" defaultTableStyle="TableStyleMedium2" defaultPivotStyle="PivotStyleMedium9"/>
  <colors>
    <mruColors>
      <color rgb="FF663300"/>
      <color rgb="FF808000"/>
      <color rgb="FFCC99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'Hue graf'!$A$6:$A$13</c:f>
              <c:strCache>
                <c:ptCount val="8"/>
                <c:pt idx="0">
                  <c:v>Empty</c:v>
                </c:pt>
                <c:pt idx="1">
                  <c:v>Home</c:v>
                </c:pt>
                <c:pt idx="2">
                  <c:v>Field</c:v>
                </c:pt>
                <c:pt idx="3">
                  <c:v>Mine</c:v>
                </c:pt>
                <c:pt idx="4">
                  <c:v>Swamp</c:v>
                </c:pt>
                <c:pt idx="5">
                  <c:v>Lake</c:v>
                </c:pt>
                <c:pt idx="6">
                  <c:v>Forest</c:v>
                </c:pt>
                <c:pt idx="7">
                  <c:v>Grass</c:v>
                </c:pt>
              </c:strCache>
            </c:strRef>
          </c:cat>
          <c:val>
            <c:numRef>
              <c:f>'Hue graf'!$B$6:$B$13</c:f>
              <c:numCache>
                <c:formatCode>General</c:formatCode>
                <c:ptCount val="8"/>
                <c:pt idx="0">
                  <c:v>18</c:v>
                </c:pt>
                <c:pt idx="1">
                  <c:v>18</c:v>
                </c:pt>
                <c:pt idx="2">
                  <c:v>24</c:v>
                </c:pt>
                <c:pt idx="3">
                  <c:v>17</c:v>
                </c:pt>
                <c:pt idx="4">
                  <c:v>17</c:v>
                </c:pt>
                <c:pt idx="5">
                  <c:v>104</c:v>
                </c:pt>
                <c:pt idx="6">
                  <c:v>28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D-4A7A-83B4-3C8DE0919B4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82-4E10-A6F2-CBA325136A94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A23-4393-B1F5-C4A9F45B1C3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82-4E10-A6F2-CBA325136A94}"/>
              </c:ext>
            </c:extLst>
          </c:dPt>
          <c:dPt>
            <c:idx val="3"/>
            <c:invertIfNegative val="0"/>
            <c:bubble3D val="0"/>
            <c:spPr>
              <a:solidFill>
                <a:srgbClr val="66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82-4E10-A6F2-CBA325136A94}"/>
              </c:ext>
            </c:extLst>
          </c:dPt>
          <c:dPt>
            <c:idx val="4"/>
            <c:invertIfNegative val="0"/>
            <c:bubble3D val="0"/>
            <c:spPr>
              <a:solidFill>
                <a:srgbClr val="8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82-4E10-A6F2-CBA325136A94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82-4E10-A6F2-CBA325136A9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BE6-4033-9192-E411DF9AB893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>
                    <a:alpha val="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82-4E10-A6F2-CBA325136A94}"/>
              </c:ext>
            </c:extLst>
          </c:dPt>
          <c:cat>
            <c:strRef>
              <c:f>'Hue graf'!$A$6:$A$13</c:f>
              <c:strCache>
                <c:ptCount val="8"/>
                <c:pt idx="0">
                  <c:v>Empty</c:v>
                </c:pt>
                <c:pt idx="1">
                  <c:v>Home</c:v>
                </c:pt>
                <c:pt idx="2">
                  <c:v>Field</c:v>
                </c:pt>
                <c:pt idx="3">
                  <c:v>Mine</c:v>
                </c:pt>
                <c:pt idx="4">
                  <c:v>Swamp</c:v>
                </c:pt>
                <c:pt idx="5">
                  <c:v>Lake</c:v>
                </c:pt>
                <c:pt idx="6">
                  <c:v>Forest</c:v>
                </c:pt>
                <c:pt idx="7">
                  <c:v>Grass</c:v>
                </c:pt>
              </c:strCache>
            </c:strRef>
          </c:cat>
          <c:val>
            <c:numRef>
              <c:f>'Hue graf'!$D$6:$D$13</c:f>
              <c:numCache>
                <c:formatCode>General</c:formatCode>
                <c:ptCount val="8"/>
                <c:pt idx="0">
                  <c:v>28</c:v>
                </c:pt>
                <c:pt idx="1">
                  <c:v>21</c:v>
                </c:pt>
                <c:pt idx="2">
                  <c:v>21</c:v>
                </c:pt>
                <c:pt idx="3">
                  <c:v>13</c:v>
                </c:pt>
                <c:pt idx="4">
                  <c:v>9</c:v>
                </c:pt>
                <c:pt idx="5">
                  <c:v>5</c:v>
                </c:pt>
                <c:pt idx="6">
                  <c:v>50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D-4A7A-83B4-3C8DE091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177958784"/>
        <c:axId val="1177967424"/>
      </c:barChart>
      <c:catAx>
        <c:axId val="117795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Tile</a:t>
                </a:r>
              </a:p>
              <a:p>
                <a:pPr>
                  <a:defRPr/>
                </a:pP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77967424"/>
        <c:crosses val="autoZero"/>
        <c:auto val="1"/>
        <c:lblAlgn val="ctr"/>
        <c:lblOffset val="100"/>
        <c:noMultiLvlLbl val="0"/>
      </c:catAx>
      <c:valAx>
        <c:axId val="117796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779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'Hue graf'!$A$31:$A$38</c:f>
              <c:strCache>
                <c:ptCount val="8"/>
                <c:pt idx="0">
                  <c:v>Empty</c:v>
                </c:pt>
                <c:pt idx="1">
                  <c:v>Home</c:v>
                </c:pt>
                <c:pt idx="2">
                  <c:v>Field</c:v>
                </c:pt>
                <c:pt idx="3">
                  <c:v>Mine</c:v>
                </c:pt>
                <c:pt idx="4">
                  <c:v>Swamp</c:v>
                </c:pt>
                <c:pt idx="5">
                  <c:v>Lake</c:v>
                </c:pt>
                <c:pt idx="6">
                  <c:v>Forest</c:v>
                </c:pt>
                <c:pt idx="7">
                  <c:v>Grass</c:v>
                </c:pt>
              </c:strCache>
            </c:strRef>
          </c:cat>
          <c:val>
            <c:numRef>
              <c:f>'Hue graf'!$B$31:$B$38</c:f>
              <c:numCache>
                <c:formatCode>General</c:formatCode>
                <c:ptCount val="8"/>
                <c:pt idx="0">
                  <c:v>110</c:v>
                </c:pt>
                <c:pt idx="1">
                  <c:v>54</c:v>
                </c:pt>
                <c:pt idx="2">
                  <c:v>192</c:v>
                </c:pt>
                <c:pt idx="3">
                  <c:v>34</c:v>
                </c:pt>
                <c:pt idx="4">
                  <c:v>23</c:v>
                </c:pt>
                <c:pt idx="5">
                  <c:v>193</c:v>
                </c:pt>
                <c:pt idx="6">
                  <c:v>68</c:v>
                </c:pt>
                <c:pt idx="7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9-4E5E-9FB6-1060C4422A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449-4E5E-9FB6-1060C4422A4F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49-4E5E-9FB6-1060C4422A4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49-4E5E-9FB6-1060C4422A4F}"/>
              </c:ext>
            </c:extLst>
          </c:dPt>
          <c:dPt>
            <c:idx val="3"/>
            <c:invertIfNegative val="0"/>
            <c:bubble3D val="0"/>
            <c:spPr>
              <a:solidFill>
                <a:srgbClr val="66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449-4E5E-9FB6-1060C4422A4F}"/>
              </c:ext>
            </c:extLst>
          </c:dPt>
          <c:dPt>
            <c:idx val="4"/>
            <c:invertIfNegative val="0"/>
            <c:bubble3D val="0"/>
            <c:spPr>
              <a:solidFill>
                <a:srgbClr val="8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49-4E5E-9FB6-1060C4422A4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449-4E5E-9FB6-1060C4422A4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49-4E5E-9FB6-1060C4422A4F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49-4E5E-9FB6-1060C4422A4F}"/>
              </c:ext>
            </c:extLst>
          </c:dPt>
          <c:cat>
            <c:strRef>
              <c:f>'Hue graf'!$A$31:$A$38</c:f>
              <c:strCache>
                <c:ptCount val="8"/>
                <c:pt idx="0">
                  <c:v>Empty</c:v>
                </c:pt>
                <c:pt idx="1">
                  <c:v>Home</c:v>
                </c:pt>
                <c:pt idx="2">
                  <c:v>Field</c:v>
                </c:pt>
                <c:pt idx="3">
                  <c:v>Mine</c:v>
                </c:pt>
                <c:pt idx="4">
                  <c:v>Swamp</c:v>
                </c:pt>
                <c:pt idx="5">
                  <c:v>Lake</c:v>
                </c:pt>
                <c:pt idx="6">
                  <c:v>Forest</c:v>
                </c:pt>
                <c:pt idx="7">
                  <c:v>Grass</c:v>
                </c:pt>
              </c:strCache>
            </c:strRef>
          </c:cat>
          <c:val>
            <c:numRef>
              <c:f>'Hue graf'!$D$31:$D$38</c:f>
              <c:numCache>
                <c:formatCode>General</c:formatCode>
                <c:ptCount val="8"/>
                <c:pt idx="0">
                  <c:v>112</c:v>
                </c:pt>
                <c:pt idx="1">
                  <c:v>127</c:v>
                </c:pt>
                <c:pt idx="2">
                  <c:v>63</c:v>
                </c:pt>
                <c:pt idx="3">
                  <c:v>125</c:v>
                </c:pt>
                <c:pt idx="4">
                  <c:v>158</c:v>
                </c:pt>
                <c:pt idx="5">
                  <c:v>62</c:v>
                </c:pt>
                <c:pt idx="6">
                  <c:v>171</c:v>
                </c:pt>
                <c:pt idx="7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9-4E5E-9FB6-1060C4422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607760"/>
        <c:axId val="118619280"/>
      </c:barChart>
      <c:catAx>
        <c:axId val="118607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8619280"/>
        <c:crosses val="autoZero"/>
        <c:auto val="1"/>
        <c:lblAlgn val="ctr"/>
        <c:lblOffset val="100"/>
        <c:noMultiLvlLbl val="0"/>
      </c:catAx>
      <c:valAx>
        <c:axId val="118619280"/>
        <c:scaling>
          <c:orientation val="minMax"/>
          <c:max val="25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860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FB-4C77-8398-F7CB338D25C5}"/>
              </c:ext>
            </c:extLst>
          </c:dPt>
          <c:xVal>
            <c:numRef>
              <c:f>'Hue graf'!$B$53:$B$60</c:f>
              <c:numCache>
                <c:formatCode>General</c:formatCode>
                <c:ptCount val="8"/>
                <c:pt idx="0">
                  <c:v>18</c:v>
                </c:pt>
                <c:pt idx="1">
                  <c:v>18</c:v>
                </c:pt>
                <c:pt idx="2">
                  <c:v>24</c:v>
                </c:pt>
                <c:pt idx="3">
                  <c:v>17</c:v>
                </c:pt>
                <c:pt idx="4">
                  <c:v>17</c:v>
                </c:pt>
                <c:pt idx="5">
                  <c:v>104</c:v>
                </c:pt>
                <c:pt idx="6">
                  <c:v>28</c:v>
                </c:pt>
                <c:pt idx="7">
                  <c:v>34</c:v>
                </c:pt>
              </c:numCache>
            </c:numRef>
          </c:xVal>
          <c:yVal>
            <c:numRef>
              <c:f>'Hue graf'!$D$53:$D$60</c:f>
              <c:numCache>
                <c:formatCode>General</c:formatCode>
                <c:ptCount val="8"/>
                <c:pt idx="0">
                  <c:v>110</c:v>
                </c:pt>
                <c:pt idx="1">
                  <c:v>54</c:v>
                </c:pt>
                <c:pt idx="2">
                  <c:v>192</c:v>
                </c:pt>
                <c:pt idx="3">
                  <c:v>34</c:v>
                </c:pt>
                <c:pt idx="4">
                  <c:v>23</c:v>
                </c:pt>
                <c:pt idx="5">
                  <c:v>193</c:v>
                </c:pt>
                <c:pt idx="6">
                  <c:v>68</c:v>
                </c:pt>
                <c:pt idx="7">
                  <c:v>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B-4C77-8398-F7CB338D25C5}"/>
            </c:ext>
          </c:extLst>
        </c:ser>
        <c:ser>
          <c:idx val="1"/>
          <c:order val="1"/>
          <c:tx>
            <c:v>Max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'Hue graf'!$C$53:$C$60</c:f>
              <c:numCache>
                <c:formatCode>General</c:formatCode>
                <c:ptCount val="8"/>
                <c:pt idx="0">
                  <c:v>46</c:v>
                </c:pt>
                <c:pt idx="1">
                  <c:v>39</c:v>
                </c:pt>
                <c:pt idx="2">
                  <c:v>45</c:v>
                </c:pt>
                <c:pt idx="3">
                  <c:v>30</c:v>
                </c:pt>
                <c:pt idx="4">
                  <c:v>26</c:v>
                </c:pt>
                <c:pt idx="5">
                  <c:v>109</c:v>
                </c:pt>
                <c:pt idx="6">
                  <c:v>78</c:v>
                </c:pt>
                <c:pt idx="7">
                  <c:v>48</c:v>
                </c:pt>
              </c:numCache>
            </c:numRef>
          </c:xVal>
          <c:yVal>
            <c:numRef>
              <c:f>'Hue graf'!$E$53:$E$60</c:f>
              <c:numCache>
                <c:formatCode>General</c:formatCode>
                <c:ptCount val="8"/>
                <c:pt idx="0">
                  <c:v>222</c:v>
                </c:pt>
                <c:pt idx="1">
                  <c:v>181</c:v>
                </c:pt>
                <c:pt idx="2">
                  <c:v>255</c:v>
                </c:pt>
                <c:pt idx="3">
                  <c:v>159</c:v>
                </c:pt>
                <c:pt idx="4">
                  <c:v>181</c:v>
                </c:pt>
                <c:pt idx="5">
                  <c:v>255</c:v>
                </c:pt>
                <c:pt idx="6">
                  <c:v>239</c:v>
                </c:pt>
                <c:pt idx="7">
                  <c:v>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8FB-4C77-8398-F7CB338D2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295600"/>
        <c:axId val="227297520"/>
      </c:scatterChart>
      <c:valAx>
        <c:axId val="22729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Hue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27297520"/>
        <c:crosses val="autoZero"/>
        <c:crossBetween val="midCat"/>
      </c:valAx>
      <c:valAx>
        <c:axId val="2272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Saturation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2729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5</xdr:row>
      <xdr:rowOff>19050</xdr:rowOff>
    </xdr:from>
    <xdr:to>
      <xdr:col>14</xdr:col>
      <xdr:colOff>495299</xdr:colOff>
      <xdr:row>22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E20BBDA-723C-79A8-B51B-D8B1F6FC3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575028</xdr:colOff>
      <xdr:row>28</xdr:row>
      <xdr:rowOff>74083</xdr:rowOff>
    </xdr:from>
    <xdr:to>
      <xdr:col>14</xdr:col>
      <xdr:colOff>412750</xdr:colOff>
      <xdr:row>48</xdr:row>
      <xdr:rowOff>59972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1CD168-9D15-E2B2-ABCE-A1097818D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560917</xdr:colOff>
      <xdr:row>51</xdr:row>
      <xdr:rowOff>42332</xdr:rowOff>
    </xdr:from>
    <xdr:to>
      <xdr:col>14</xdr:col>
      <xdr:colOff>370417</xdr:colOff>
      <xdr:row>70</xdr:row>
      <xdr:rowOff>105833</xdr:rowOff>
    </xdr:to>
    <xdr:graphicFrame macro="">
      <xdr:nvGraphicFramePr>
        <xdr:cNvPr id="251" name="Chart 7">
          <a:extLst>
            <a:ext uri="{FF2B5EF4-FFF2-40B4-BE49-F238E27FC236}">
              <a16:creationId xmlns:a16="http://schemas.microsoft.com/office/drawing/2014/main" id="{DD5B2914-79E9-FC24-F7A5-6E1F30A86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0.31135</cdr:x>
      <cdr:y>0.2751</cdr:y>
    </cdr:from>
    <cdr:to>
      <cdr:x>0.66387</cdr:x>
      <cdr:y>0.68687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E81D3295-1D8B-D7AD-9989-2FDD7DBE9FBC}"/>
            </a:ext>
          </a:extLst>
        </cdr:cNvPr>
        <cdr:cNvSpPr/>
      </cdr:nvSpPr>
      <cdr:spPr>
        <a:xfrm xmlns:a="http://schemas.openxmlformats.org/drawingml/2006/main">
          <a:off x="1648883" y="980018"/>
          <a:ext cx="1866900" cy="146685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50000"/>
            <a:alpha val="80000"/>
          </a:scheme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0.35572</cdr:x>
      <cdr:y>0.25371</cdr:y>
    </cdr:from>
    <cdr:to>
      <cdr:x>0.45404</cdr:x>
      <cdr:y>0.44444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C7599996-C532-F5F3-640E-71095EC04DED}"/>
            </a:ext>
          </a:extLst>
        </cdr:cNvPr>
        <cdr:cNvSpPr/>
      </cdr:nvSpPr>
      <cdr:spPr>
        <a:xfrm xmlns:a="http://schemas.openxmlformats.org/drawingml/2006/main">
          <a:off x="1883833" y="903819"/>
          <a:ext cx="520700" cy="679449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0.84293</cdr:x>
      <cdr:y>0.23589</cdr:y>
    </cdr:from>
    <cdr:to>
      <cdr:x>0.8809</cdr:x>
      <cdr:y>0.38856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B7A4BD34-32A2-B6EC-CF30-7C4901310364}"/>
            </a:ext>
          </a:extLst>
        </cdr:cNvPr>
        <cdr:cNvSpPr/>
      </cdr:nvSpPr>
      <cdr:spPr>
        <a:xfrm xmlns:a="http://schemas.openxmlformats.org/drawingml/2006/main">
          <a:off x="4464050" y="840318"/>
          <a:ext cx="201083" cy="54386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0.23621</cdr:x>
      <cdr:y>0.41058</cdr:y>
    </cdr:from>
    <cdr:to>
      <cdr:x>0.30176</cdr:x>
      <cdr:y>0.78903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1238F825-E843-B5A6-E3C0-A5360A938533}"/>
            </a:ext>
          </a:extLst>
        </cdr:cNvPr>
        <cdr:cNvSpPr/>
      </cdr:nvSpPr>
      <cdr:spPr>
        <a:xfrm xmlns:a="http://schemas.openxmlformats.org/drawingml/2006/main">
          <a:off x="1250950" y="1462618"/>
          <a:ext cx="347133" cy="1348200"/>
        </a:xfrm>
        <a:prstGeom xmlns:a="http://schemas.openxmlformats.org/drawingml/2006/main" prst="rect">
          <a:avLst/>
        </a:prstGeom>
        <a:solidFill xmlns:a="http://schemas.openxmlformats.org/drawingml/2006/main">
          <a:srgbClr val="80800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0.23621</cdr:x>
      <cdr:y>0.46405</cdr:y>
    </cdr:from>
    <cdr:to>
      <cdr:x>0.32814</cdr:x>
      <cdr:y>0.76586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F1ACEC58-698F-C39D-A627-8E5683B7592A}"/>
            </a:ext>
          </a:extLst>
        </cdr:cNvPr>
        <cdr:cNvSpPr/>
      </cdr:nvSpPr>
      <cdr:spPr>
        <a:xfrm xmlns:a="http://schemas.openxmlformats.org/drawingml/2006/main">
          <a:off x="1250950" y="1653118"/>
          <a:ext cx="486833" cy="1075150"/>
        </a:xfrm>
        <a:prstGeom xmlns:a="http://schemas.openxmlformats.org/drawingml/2006/main" prst="rect">
          <a:avLst/>
        </a:prstGeom>
        <a:solidFill xmlns:a="http://schemas.openxmlformats.org/drawingml/2006/main">
          <a:srgbClr val="66330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0.28617</cdr:x>
      <cdr:y>0.23589</cdr:y>
    </cdr:from>
    <cdr:to>
      <cdr:x>0.43485</cdr:x>
      <cdr:y>0.38975</cdr:y>
    </cdr:to>
    <cdr:sp macro="" textlink="">
      <cdr:nvSpPr>
        <cdr:cNvPr id="9" name="Rectangle 8">
          <a:extLst xmlns:a="http://schemas.openxmlformats.org/drawingml/2006/main">
            <a:ext uri="{FF2B5EF4-FFF2-40B4-BE49-F238E27FC236}">
              <a16:creationId xmlns:a16="http://schemas.microsoft.com/office/drawing/2014/main" id="{58E54E05-3FDB-7B88-64AC-C069543FF380}"/>
            </a:ext>
          </a:extLst>
        </cdr:cNvPr>
        <cdr:cNvSpPr/>
      </cdr:nvSpPr>
      <cdr:spPr>
        <a:xfrm xmlns:a="http://schemas.openxmlformats.org/drawingml/2006/main">
          <a:off x="1515534" y="840318"/>
          <a:ext cx="787400" cy="5481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0.2446</cdr:x>
      <cdr:y>0.40345</cdr:y>
    </cdr:from>
    <cdr:to>
      <cdr:x>0.39289</cdr:x>
      <cdr:y>0.71417</cdr:y>
    </cdr:to>
    <cdr:sp macro="" textlink="">
      <cdr:nvSpPr>
        <cdr:cNvPr id="10" name="Rectangle 9">
          <a:extLst xmlns:a="http://schemas.openxmlformats.org/drawingml/2006/main">
            <a:ext uri="{FF2B5EF4-FFF2-40B4-BE49-F238E27FC236}">
              <a16:creationId xmlns:a16="http://schemas.microsoft.com/office/drawing/2014/main" id="{C745F14D-439F-A75B-CD65-C2CFFE6DEBE8}"/>
            </a:ext>
          </a:extLst>
        </cdr:cNvPr>
        <cdr:cNvSpPr/>
      </cdr:nvSpPr>
      <cdr:spPr>
        <a:xfrm xmlns:a="http://schemas.openxmlformats.org/drawingml/2006/main">
          <a:off x="1295400" y="1437218"/>
          <a:ext cx="785283" cy="1106900"/>
        </a:xfrm>
        <a:prstGeom xmlns:a="http://schemas.openxmlformats.org/drawingml/2006/main" prst="rect">
          <a:avLst/>
        </a:prstGeom>
        <a:solidFill xmlns:a="http://schemas.openxmlformats.org/drawingml/2006/main">
          <a:srgbClr val="7030A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  <cdr:relSizeAnchor xmlns:cdr="http://schemas.openxmlformats.org/drawingml/2006/chartDrawing">
    <cdr:from>
      <cdr:x>0.24341</cdr:x>
      <cdr:y>0.31432</cdr:y>
    </cdr:from>
    <cdr:to>
      <cdr:x>0.44085</cdr:x>
      <cdr:y>0.58404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BF317E43-9AFF-AE66-A020-11AF9CAA4E66}"/>
            </a:ext>
          </a:extLst>
        </cdr:cNvPr>
        <cdr:cNvSpPr/>
      </cdr:nvSpPr>
      <cdr:spPr>
        <a:xfrm xmlns:a="http://schemas.openxmlformats.org/drawingml/2006/main">
          <a:off x="1289050" y="1119718"/>
          <a:ext cx="1045633" cy="96085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80000"/>
          </a:srgbClr>
        </a:solidFill>
        <a:ln xmlns:a="http://schemas.openxmlformats.org/drawingml/2006/main">
          <a:solidFill>
            <a:srgbClr val="92D050">
              <a:alpha val="17000"/>
            </a:srgb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a-DK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Rasmus Kaa Jensen" id="{0F7F3CA1-EC6C-4E66-9E92-0DA43F505FC9}" userId="S::gp68hb@student.aau.dk::96d06a68-0191-4ce9-8135-6090ff715a8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8" dT="2025-09-09T09:43:35.39" personId="{0F7F3CA1-EC6C-4E66-9E92-0DA43F505FC9}" id="{A6F8CD59-D24A-457E-9CF8-251A3A14EDCF}">
    <text>slot i vejen, før 150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9"/>
  <sheetViews>
    <sheetView zoomScale="85" zoomScaleNormal="85" workbookViewId="0">
      <selection activeCell="P13" sqref="P13"/>
    </sheetView>
  </sheetViews>
  <sheetFormatPr defaultRowHeight="14.4" x14ac:dyDescent="0.3"/>
  <sheetData>
    <row r="2" spans="1:2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</row>
    <row r="3" spans="1:25" x14ac:dyDescent="0.3">
      <c r="A3" t="s">
        <v>22</v>
      </c>
      <c r="B3">
        <v>32</v>
      </c>
      <c r="C3">
        <v>188</v>
      </c>
      <c r="D3">
        <v>123</v>
      </c>
      <c r="E3">
        <v>34</v>
      </c>
      <c r="F3">
        <v>100</v>
      </c>
      <c r="G3">
        <v>26</v>
      </c>
      <c r="H3">
        <v>78</v>
      </c>
      <c r="I3">
        <v>193</v>
      </c>
      <c r="J3">
        <v>115</v>
      </c>
      <c r="K3">
        <v>29</v>
      </c>
      <c r="L3">
        <v>93</v>
      </c>
      <c r="M3">
        <v>55</v>
      </c>
      <c r="N3">
        <v>24</v>
      </c>
      <c r="O3">
        <v>217</v>
      </c>
      <c r="P3">
        <v>152</v>
      </c>
      <c r="Q3">
        <v>21</v>
      </c>
      <c r="R3">
        <v>84</v>
      </c>
      <c r="S3">
        <v>83</v>
      </c>
      <c r="T3">
        <v>20</v>
      </c>
      <c r="U3">
        <v>164</v>
      </c>
      <c r="V3">
        <v>154</v>
      </c>
    </row>
    <row r="4" spans="1:25" x14ac:dyDescent="0.3">
      <c r="A4" t="s">
        <v>23</v>
      </c>
      <c r="B4">
        <v>46</v>
      </c>
      <c r="C4">
        <v>225</v>
      </c>
      <c r="D4">
        <v>157</v>
      </c>
      <c r="E4">
        <v>53</v>
      </c>
      <c r="F4">
        <v>179</v>
      </c>
      <c r="G4">
        <v>75</v>
      </c>
      <c r="H4">
        <v>104</v>
      </c>
      <c r="I4">
        <v>250</v>
      </c>
      <c r="J4">
        <v>180</v>
      </c>
      <c r="K4">
        <v>41</v>
      </c>
      <c r="L4">
        <v>136</v>
      </c>
      <c r="M4">
        <v>67</v>
      </c>
      <c r="N4">
        <v>30</v>
      </c>
      <c r="O4">
        <v>248</v>
      </c>
      <c r="P4">
        <v>200</v>
      </c>
      <c r="Q4">
        <v>29</v>
      </c>
      <c r="R4">
        <v>164</v>
      </c>
      <c r="S4">
        <v>130</v>
      </c>
      <c r="T4">
        <v>21</v>
      </c>
      <c r="U4">
        <v>166</v>
      </c>
      <c r="V4">
        <v>157</v>
      </c>
    </row>
    <row r="7" spans="1:25" x14ac:dyDescent="0.3">
      <c r="A7" t="s">
        <v>24</v>
      </c>
      <c r="B7" s="9" t="s">
        <v>1</v>
      </c>
      <c r="C7" s="9" t="s">
        <v>2</v>
      </c>
      <c r="D7" s="9" t="s">
        <v>3</v>
      </c>
      <c r="E7" s="10" t="s">
        <v>4</v>
      </c>
      <c r="F7" s="10" t="s">
        <v>5</v>
      </c>
      <c r="G7" s="10" t="s">
        <v>6</v>
      </c>
      <c r="H7" s="11" t="s">
        <v>7</v>
      </c>
      <c r="I7" s="11" t="s">
        <v>8</v>
      </c>
      <c r="J7" s="11" t="s">
        <v>9</v>
      </c>
      <c r="K7" s="15" t="s">
        <v>10</v>
      </c>
      <c r="L7" s="15" t="s">
        <v>11</v>
      </c>
      <c r="M7" s="15" t="s">
        <v>12</v>
      </c>
      <c r="N7" s="12" t="s">
        <v>13</v>
      </c>
      <c r="O7" s="12" t="s">
        <v>14</v>
      </c>
      <c r="P7" s="12" t="s">
        <v>15</v>
      </c>
      <c r="Q7" s="13" t="s">
        <v>16</v>
      </c>
      <c r="R7" s="13" t="s">
        <v>17</v>
      </c>
      <c r="S7" s="13" t="s">
        <v>18</v>
      </c>
      <c r="T7" t="s">
        <v>19</v>
      </c>
      <c r="U7" t="s">
        <v>20</v>
      </c>
      <c r="V7" t="s">
        <v>21</v>
      </c>
      <c r="W7" s="14" t="s">
        <v>25</v>
      </c>
      <c r="X7" s="14" t="s">
        <v>26</v>
      </c>
      <c r="Y7" s="14" t="s">
        <v>27</v>
      </c>
    </row>
    <row r="8" spans="1:25" x14ac:dyDescent="0.3">
      <c r="A8" t="s">
        <v>22</v>
      </c>
      <c r="B8">
        <v>34</v>
      </c>
      <c r="C8">
        <v>169</v>
      </c>
      <c r="D8">
        <v>73</v>
      </c>
      <c r="E8">
        <v>28</v>
      </c>
      <c r="F8">
        <v>68</v>
      </c>
      <c r="G8">
        <v>25</v>
      </c>
      <c r="H8" t="s">
        <v>28</v>
      </c>
      <c r="I8">
        <v>193</v>
      </c>
      <c r="J8">
        <v>109</v>
      </c>
      <c r="K8">
        <v>17</v>
      </c>
      <c r="L8">
        <v>34</v>
      </c>
      <c r="M8">
        <v>24</v>
      </c>
      <c r="N8">
        <v>24</v>
      </c>
      <c r="O8">
        <v>192</v>
      </c>
      <c r="P8">
        <v>105</v>
      </c>
      <c r="Q8">
        <v>17</v>
      </c>
      <c r="R8">
        <v>23</v>
      </c>
      <c r="S8">
        <v>68</v>
      </c>
      <c r="T8">
        <v>18</v>
      </c>
      <c r="U8">
        <v>110</v>
      </c>
      <c r="V8">
        <v>70</v>
      </c>
      <c r="W8">
        <v>18</v>
      </c>
      <c r="X8">
        <v>54</v>
      </c>
      <c r="Y8">
        <v>64</v>
      </c>
    </row>
    <row r="9" spans="1:25" x14ac:dyDescent="0.3">
      <c r="A9" t="s">
        <v>23</v>
      </c>
      <c r="B9">
        <v>48</v>
      </c>
      <c r="C9">
        <v>248</v>
      </c>
      <c r="D9">
        <v>164</v>
      </c>
      <c r="E9">
        <v>78</v>
      </c>
      <c r="F9">
        <v>239</v>
      </c>
      <c r="G9">
        <v>128</v>
      </c>
      <c r="H9">
        <v>109</v>
      </c>
      <c r="I9">
        <v>255</v>
      </c>
      <c r="J9">
        <v>204</v>
      </c>
      <c r="K9">
        <v>30</v>
      </c>
      <c r="L9">
        <v>159</v>
      </c>
      <c r="M9">
        <v>95</v>
      </c>
      <c r="N9">
        <v>45</v>
      </c>
      <c r="O9">
        <v>255</v>
      </c>
      <c r="P9">
        <v>206</v>
      </c>
      <c r="Q9">
        <v>26</v>
      </c>
      <c r="R9">
        <v>181</v>
      </c>
      <c r="S9">
        <v>144</v>
      </c>
      <c r="T9">
        <v>46</v>
      </c>
      <c r="U9">
        <v>222</v>
      </c>
      <c r="V9">
        <v>184</v>
      </c>
      <c r="W9">
        <v>39</v>
      </c>
      <c r="X9">
        <v>181</v>
      </c>
      <c r="Y9">
        <v>150</v>
      </c>
    </row>
    <row r="10" spans="1:25" x14ac:dyDescent="0.3">
      <c r="K10" t="s">
        <v>333</v>
      </c>
      <c r="L10" t="s">
        <v>333</v>
      </c>
    </row>
    <row r="11" spans="1:25" x14ac:dyDescent="0.3">
      <c r="K11">
        <v>0</v>
      </c>
      <c r="L11">
        <v>0</v>
      </c>
      <c r="M11">
        <v>3</v>
      </c>
    </row>
    <row r="12" spans="1:25" x14ac:dyDescent="0.3">
      <c r="K12">
        <v>180</v>
      </c>
      <c r="L12">
        <v>33</v>
      </c>
      <c r="M12">
        <v>19</v>
      </c>
    </row>
    <row r="16" spans="1:25" x14ac:dyDescent="0.3">
      <c r="F16">
        <v>30</v>
      </c>
      <c r="G16">
        <v>53</v>
      </c>
      <c r="H16">
        <v>90</v>
      </c>
    </row>
    <row r="18" spans="1:19" x14ac:dyDescent="0.3">
      <c r="A18" t="s">
        <v>29</v>
      </c>
      <c r="B18">
        <v>34</v>
      </c>
      <c r="C18">
        <v>179</v>
      </c>
      <c r="D18">
        <v>73</v>
      </c>
      <c r="E18">
        <v>28</v>
      </c>
      <c r="F18">
        <v>68</v>
      </c>
      <c r="G18">
        <v>25</v>
      </c>
      <c r="H18">
        <v>78</v>
      </c>
      <c r="I18">
        <v>193</v>
      </c>
      <c r="J18">
        <v>109</v>
      </c>
      <c r="K18">
        <v>17</v>
      </c>
      <c r="L18">
        <v>34</v>
      </c>
      <c r="M18">
        <v>26</v>
      </c>
      <c r="N18">
        <v>20</v>
      </c>
      <c r="O18">
        <v>217</v>
      </c>
      <c r="P18">
        <v>105</v>
      </c>
      <c r="Q18">
        <v>17</v>
      </c>
      <c r="R18">
        <v>23</v>
      </c>
      <c r="S18">
        <v>68</v>
      </c>
    </row>
    <row r="19" spans="1:19" x14ac:dyDescent="0.3">
      <c r="B19">
        <v>48</v>
      </c>
      <c r="C19">
        <v>248</v>
      </c>
      <c r="D19">
        <v>164</v>
      </c>
      <c r="E19">
        <v>77</v>
      </c>
      <c r="F19">
        <v>239</v>
      </c>
      <c r="G19">
        <v>75</v>
      </c>
      <c r="H19">
        <v>109</v>
      </c>
      <c r="I19">
        <v>257</v>
      </c>
      <c r="J19">
        <v>196</v>
      </c>
      <c r="K19">
        <v>30</v>
      </c>
      <c r="L19">
        <v>159</v>
      </c>
      <c r="M19">
        <v>95</v>
      </c>
      <c r="N19">
        <v>50</v>
      </c>
      <c r="O19">
        <v>255</v>
      </c>
      <c r="P19">
        <v>206</v>
      </c>
      <c r="Q19">
        <v>26</v>
      </c>
      <c r="R19">
        <v>181</v>
      </c>
      <c r="S19">
        <v>144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F07-A4F5-48E9-8556-AD0588F64A0A}">
  <dimension ref="A1:Q98"/>
  <sheetViews>
    <sheetView zoomScale="60" zoomScaleNormal="60" workbookViewId="0">
      <selection activeCell="E65" sqref="E65"/>
    </sheetView>
  </sheetViews>
  <sheetFormatPr defaultRowHeight="14.4" x14ac:dyDescent="0.3"/>
  <sheetData>
    <row r="1" spans="1:17" x14ac:dyDescent="0.3">
      <c r="A1" t="s">
        <v>24</v>
      </c>
      <c r="B1" s="9" t="s">
        <v>1</v>
      </c>
      <c r="C1" s="9" t="s">
        <v>2</v>
      </c>
      <c r="D1" s="57" t="s">
        <v>4</v>
      </c>
      <c r="E1" s="57" t="s">
        <v>5</v>
      </c>
      <c r="F1" s="11" t="s">
        <v>7</v>
      </c>
      <c r="G1" s="11" t="s">
        <v>8</v>
      </c>
      <c r="H1" s="12" t="s">
        <v>13</v>
      </c>
      <c r="I1" s="12" t="s">
        <v>14</v>
      </c>
      <c r="J1" s="15" t="s">
        <v>10</v>
      </c>
      <c r="K1" s="15" t="s">
        <v>11</v>
      </c>
      <c r="L1" s="26" t="s">
        <v>16</v>
      </c>
      <c r="M1" s="26" t="s">
        <v>17</v>
      </c>
      <c r="N1" t="s">
        <v>19</v>
      </c>
      <c r="O1" t="s">
        <v>20</v>
      </c>
      <c r="P1" s="14" t="s">
        <v>25</v>
      </c>
      <c r="Q1" s="14" t="s">
        <v>26</v>
      </c>
    </row>
    <row r="2" spans="1:17" x14ac:dyDescent="0.3">
      <c r="A2" t="s">
        <v>22</v>
      </c>
      <c r="B2">
        <v>34</v>
      </c>
      <c r="C2">
        <v>169</v>
      </c>
      <c r="D2">
        <v>28</v>
      </c>
      <c r="E2">
        <v>68</v>
      </c>
      <c r="F2">
        <v>104</v>
      </c>
      <c r="G2">
        <v>193</v>
      </c>
      <c r="H2">
        <v>24</v>
      </c>
      <c r="I2">
        <v>192</v>
      </c>
      <c r="J2">
        <v>17</v>
      </c>
      <c r="K2">
        <v>34</v>
      </c>
      <c r="L2">
        <v>17</v>
      </c>
      <c r="M2">
        <v>23</v>
      </c>
      <c r="N2">
        <v>18</v>
      </c>
      <c r="O2">
        <v>110</v>
      </c>
      <c r="P2">
        <v>18</v>
      </c>
      <c r="Q2">
        <v>54</v>
      </c>
    </row>
    <row r="3" spans="1:17" x14ac:dyDescent="0.3">
      <c r="A3" t="s">
        <v>23</v>
      </c>
      <c r="B3">
        <v>48</v>
      </c>
      <c r="C3">
        <v>248</v>
      </c>
      <c r="D3">
        <v>78</v>
      </c>
      <c r="E3">
        <v>239</v>
      </c>
      <c r="F3">
        <v>109</v>
      </c>
      <c r="G3">
        <v>255</v>
      </c>
      <c r="H3">
        <v>45</v>
      </c>
      <c r="I3">
        <v>255</v>
      </c>
      <c r="J3">
        <v>30</v>
      </c>
      <c r="K3">
        <v>159</v>
      </c>
      <c r="L3">
        <v>26</v>
      </c>
      <c r="M3">
        <v>181</v>
      </c>
      <c r="N3">
        <v>46</v>
      </c>
      <c r="O3">
        <v>222</v>
      </c>
      <c r="P3">
        <v>39</v>
      </c>
      <c r="Q3">
        <v>181</v>
      </c>
    </row>
    <row r="5" spans="1:17" x14ac:dyDescent="0.3">
      <c r="A5" s="23" t="s">
        <v>30</v>
      </c>
      <c r="B5" s="23" t="s">
        <v>31</v>
      </c>
      <c r="C5" s="23" t="s">
        <v>32</v>
      </c>
      <c r="D5" s="23" t="s">
        <v>33</v>
      </c>
    </row>
    <row r="6" spans="1:17" x14ac:dyDescent="0.3">
      <c r="A6" t="s">
        <v>40</v>
      </c>
      <c r="B6">
        <v>18</v>
      </c>
      <c r="C6">
        <v>46</v>
      </c>
      <c r="D6" s="24">
        <f t="shared" ref="D6" si="0">C6-B6</f>
        <v>28</v>
      </c>
    </row>
    <row r="7" spans="1:17" x14ac:dyDescent="0.3">
      <c r="A7" t="s">
        <v>41</v>
      </c>
      <c r="B7">
        <v>18</v>
      </c>
      <c r="C7">
        <v>39</v>
      </c>
      <c r="D7" s="24">
        <f t="shared" ref="D7" si="1">C7-B7</f>
        <v>21</v>
      </c>
    </row>
    <row r="8" spans="1:17" x14ac:dyDescent="0.3">
      <c r="A8" t="s">
        <v>38</v>
      </c>
      <c r="B8">
        <v>24</v>
      </c>
      <c r="C8">
        <v>45</v>
      </c>
      <c r="D8" s="24">
        <f>C8-B8</f>
        <v>21</v>
      </c>
    </row>
    <row r="9" spans="1:17" x14ac:dyDescent="0.3">
      <c r="A9" t="s">
        <v>37</v>
      </c>
      <c r="B9">
        <v>17</v>
      </c>
      <c r="C9">
        <v>30</v>
      </c>
      <c r="D9" s="24">
        <f>C9-B9</f>
        <v>13</v>
      </c>
    </row>
    <row r="10" spans="1:17" x14ac:dyDescent="0.3">
      <c r="A10" t="s">
        <v>39</v>
      </c>
      <c r="B10">
        <v>17</v>
      </c>
      <c r="C10">
        <v>26</v>
      </c>
      <c r="D10" s="24">
        <f>C10-B10</f>
        <v>9</v>
      </c>
    </row>
    <row r="11" spans="1:17" x14ac:dyDescent="0.3">
      <c r="A11" t="s">
        <v>36</v>
      </c>
      <c r="B11">
        <v>104</v>
      </c>
      <c r="C11">
        <v>109</v>
      </c>
      <c r="D11" s="24">
        <f t="shared" ref="D11:D13" si="2">C11-B11</f>
        <v>5</v>
      </c>
    </row>
    <row r="12" spans="1:17" x14ac:dyDescent="0.3">
      <c r="A12" t="s">
        <v>35</v>
      </c>
      <c r="B12">
        <v>28</v>
      </c>
      <c r="C12">
        <v>78</v>
      </c>
      <c r="D12" s="24">
        <f t="shared" si="2"/>
        <v>50</v>
      </c>
    </row>
    <row r="13" spans="1:17" x14ac:dyDescent="0.3">
      <c r="A13" t="s">
        <v>34</v>
      </c>
      <c r="B13">
        <v>34</v>
      </c>
      <c r="C13">
        <v>48</v>
      </c>
      <c r="D13" s="24">
        <f t="shared" si="2"/>
        <v>14</v>
      </c>
    </row>
    <row r="25" spans="1:17" x14ac:dyDescent="0.3">
      <c r="D25" s="24"/>
    </row>
    <row r="26" spans="1:17" x14ac:dyDescent="0.3">
      <c r="A26" t="s">
        <v>24</v>
      </c>
      <c r="B26" s="9" t="s">
        <v>1</v>
      </c>
      <c r="C26" s="9" t="s">
        <v>2</v>
      </c>
      <c r="D26" s="57" t="s">
        <v>4</v>
      </c>
      <c r="E26" s="57" t="s">
        <v>5</v>
      </c>
      <c r="F26" s="11" t="s">
        <v>7</v>
      </c>
      <c r="G26" s="11" t="s">
        <v>8</v>
      </c>
      <c r="H26" s="12" t="s">
        <v>13</v>
      </c>
      <c r="I26" s="12" t="s">
        <v>14</v>
      </c>
      <c r="J26" s="15" t="s">
        <v>10</v>
      </c>
      <c r="K26" s="15" t="s">
        <v>11</v>
      </c>
      <c r="L26" s="26" t="s">
        <v>16</v>
      </c>
      <c r="M26" s="26" t="s">
        <v>17</v>
      </c>
      <c r="N26" t="s">
        <v>19</v>
      </c>
      <c r="O26" t="s">
        <v>20</v>
      </c>
      <c r="P26" s="14" t="s">
        <v>25</v>
      </c>
      <c r="Q26" s="14" t="s">
        <v>26</v>
      </c>
    </row>
    <row r="27" spans="1:17" x14ac:dyDescent="0.3">
      <c r="A27" t="s">
        <v>22</v>
      </c>
      <c r="B27">
        <v>34</v>
      </c>
      <c r="C27">
        <v>169</v>
      </c>
      <c r="D27">
        <v>28</v>
      </c>
      <c r="E27">
        <v>68</v>
      </c>
      <c r="F27">
        <v>104</v>
      </c>
      <c r="G27">
        <v>193</v>
      </c>
      <c r="H27">
        <v>24</v>
      </c>
      <c r="I27">
        <v>192</v>
      </c>
      <c r="J27">
        <v>17</v>
      </c>
      <c r="K27">
        <v>34</v>
      </c>
      <c r="L27">
        <v>17</v>
      </c>
      <c r="M27">
        <v>23</v>
      </c>
      <c r="N27">
        <v>18</v>
      </c>
      <c r="O27">
        <v>110</v>
      </c>
      <c r="P27">
        <v>18</v>
      </c>
      <c r="Q27">
        <v>54</v>
      </c>
    </row>
    <row r="28" spans="1:17" x14ac:dyDescent="0.3">
      <c r="A28" t="s">
        <v>23</v>
      </c>
      <c r="B28">
        <v>48</v>
      </c>
      <c r="C28">
        <v>248</v>
      </c>
      <c r="D28">
        <v>78</v>
      </c>
      <c r="E28">
        <v>239</v>
      </c>
      <c r="F28">
        <v>109</v>
      </c>
      <c r="G28">
        <v>255</v>
      </c>
      <c r="H28">
        <v>45</v>
      </c>
      <c r="I28">
        <v>255</v>
      </c>
      <c r="J28">
        <v>30</v>
      </c>
      <c r="K28">
        <v>159</v>
      </c>
      <c r="L28">
        <v>26</v>
      </c>
      <c r="M28">
        <v>181</v>
      </c>
      <c r="N28">
        <v>46</v>
      </c>
      <c r="O28">
        <v>222</v>
      </c>
      <c r="P28">
        <v>39</v>
      </c>
      <c r="Q28">
        <v>181</v>
      </c>
    </row>
    <row r="30" spans="1:17" x14ac:dyDescent="0.3">
      <c r="A30" s="23" t="s">
        <v>30</v>
      </c>
      <c r="B30" s="23" t="s">
        <v>268</v>
      </c>
      <c r="C30" s="23" t="s">
        <v>269</v>
      </c>
      <c r="D30" s="23" t="s">
        <v>33</v>
      </c>
    </row>
    <row r="31" spans="1:17" x14ac:dyDescent="0.3">
      <c r="A31" t="s">
        <v>40</v>
      </c>
      <c r="B31">
        <v>110</v>
      </c>
      <c r="C31">
        <v>222</v>
      </c>
      <c r="D31" s="24">
        <f t="shared" ref="D31:D32" si="3">C31-B31</f>
        <v>112</v>
      </c>
    </row>
    <row r="32" spans="1:17" x14ac:dyDescent="0.3">
      <c r="A32" t="s">
        <v>41</v>
      </c>
      <c r="B32">
        <v>54</v>
      </c>
      <c r="C32">
        <v>181</v>
      </c>
      <c r="D32" s="24">
        <f t="shared" si="3"/>
        <v>127</v>
      </c>
    </row>
    <row r="33" spans="1:4" x14ac:dyDescent="0.3">
      <c r="A33" t="s">
        <v>38</v>
      </c>
      <c r="B33">
        <v>192</v>
      </c>
      <c r="C33">
        <v>255</v>
      </c>
      <c r="D33" s="24">
        <f>C33-B33</f>
        <v>63</v>
      </c>
    </row>
    <row r="34" spans="1:4" x14ac:dyDescent="0.3">
      <c r="A34" t="s">
        <v>37</v>
      </c>
      <c r="B34">
        <v>34</v>
      </c>
      <c r="C34">
        <v>159</v>
      </c>
      <c r="D34" s="24">
        <f>C34-B34</f>
        <v>125</v>
      </c>
    </row>
    <row r="35" spans="1:4" x14ac:dyDescent="0.3">
      <c r="A35" t="s">
        <v>39</v>
      </c>
      <c r="B35">
        <v>23</v>
      </c>
      <c r="C35">
        <v>181</v>
      </c>
      <c r="D35" s="24">
        <f>C35-B35</f>
        <v>158</v>
      </c>
    </row>
    <row r="36" spans="1:4" x14ac:dyDescent="0.3">
      <c r="A36" t="s">
        <v>36</v>
      </c>
      <c r="B36">
        <v>193</v>
      </c>
      <c r="C36">
        <v>255</v>
      </c>
      <c r="D36" s="24">
        <f t="shared" ref="D36:D38" si="4">C36-B36</f>
        <v>62</v>
      </c>
    </row>
    <row r="37" spans="1:4" x14ac:dyDescent="0.3">
      <c r="A37" t="s">
        <v>35</v>
      </c>
      <c r="B37">
        <v>68</v>
      </c>
      <c r="C37">
        <v>239</v>
      </c>
      <c r="D37" s="24">
        <f t="shared" si="4"/>
        <v>171</v>
      </c>
    </row>
    <row r="38" spans="1:4" x14ac:dyDescent="0.3">
      <c r="A38" t="s">
        <v>34</v>
      </c>
      <c r="B38">
        <v>169</v>
      </c>
      <c r="C38">
        <v>248</v>
      </c>
      <c r="D38" s="24">
        <f t="shared" si="4"/>
        <v>79</v>
      </c>
    </row>
    <row r="52" spans="1:5" x14ac:dyDescent="0.3">
      <c r="A52" s="58" t="s">
        <v>30</v>
      </c>
      <c r="B52" s="58" t="s">
        <v>31</v>
      </c>
      <c r="C52" s="58" t="s">
        <v>32</v>
      </c>
      <c r="D52" s="58" t="s">
        <v>268</v>
      </c>
      <c r="E52" s="58" t="s">
        <v>269</v>
      </c>
    </row>
    <row r="53" spans="1:5" x14ac:dyDescent="0.3">
      <c r="A53" s="59" t="s">
        <v>40</v>
      </c>
      <c r="B53" s="59">
        <v>18</v>
      </c>
      <c r="C53" s="59">
        <v>46</v>
      </c>
      <c r="D53" s="59">
        <v>110</v>
      </c>
      <c r="E53" s="59">
        <v>222</v>
      </c>
    </row>
    <row r="54" spans="1:5" x14ac:dyDescent="0.3">
      <c r="A54" s="59" t="s">
        <v>41</v>
      </c>
      <c r="B54" s="59">
        <v>18</v>
      </c>
      <c r="C54" s="59">
        <v>39</v>
      </c>
      <c r="D54" s="59">
        <v>54</v>
      </c>
      <c r="E54" s="59">
        <v>181</v>
      </c>
    </row>
    <row r="55" spans="1:5" x14ac:dyDescent="0.3">
      <c r="A55" s="59" t="s">
        <v>38</v>
      </c>
      <c r="B55" s="59">
        <v>24</v>
      </c>
      <c r="C55" s="59">
        <v>45</v>
      </c>
      <c r="D55" s="59">
        <v>192</v>
      </c>
      <c r="E55" s="59">
        <v>255</v>
      </c>
    </row>
    <row r="56" spans="1:5" x14ac:dyDescent="0.3">
      <c r="A56" s="59" t="s">
        <v>37</v>
      </c>
      <c r="B56" s="59">
        <v>17</v>
      </c>
      <c r="C56" s="59">
        <v>30</v>
      </c>
      <c r="D56" s="59">
        <v>34</v>
      </c>
      <c r="E56" s="59">
        <v>159</v>
      </c>
    </row>
    <row r="57" spans="1:5" x14ac:dyDescent="0.3">
      <c r="A57" s="59" t="s">
        <v>39</v>
      </c>
      <c r="B57" s="59">
        <v>17</v>
      </c>
      <c r="C57" s="59">
        <v>26</v>
      </c>
      <c r="D57" s="59">
        <v>23</v>
      </c>
      <c r="E57" s="59">
        <v>181</v>
      </c>
    </row>
    <row r="58" spans="1:5" x14ac:dyDescent="0.3">
      <c r="A58" s="59" t="s">
        <v>36</v>
      </c>
      <c r="B58" s="59">
        <v>104</v>
      </c>
      <c r="C58" s="59">
        <v>109</v>
      </c>
      <c r="D58" s="59">
        <v>193</v>
      </c>
      <c r="E58" s="59">
        <v>255</v>
      </c>
    </row>
    <row r="59" spans="1:5" x14ac:dyDescent="0.3">
      <c r="A59" s="59" t="s">
        <v>35</v>
      </c>
      <c r="B59" s="59">
        <v>28</v>
      </c>
      <c r="C59" s="59">
        <v>78</v>
      </c>
      <c r="D59" s="59">
        <v>68</v>
      </c>
      <c r="E59" s="59">
        <v>239</v>
      </c>
    </row>
    <row r="60" spans="1:5" x14ac:dyDescent="0.3">
      <c r="A60" s="59" t="s">
        <v>34</v>
      </c>
      <c r="B60" s="59">
        <v>34</v>
      </c>
      <c r="C60" s="59">
        <v>48</v>
      </c>
      <c r="D60" s="59">
        <v>169</v>
      </c>
      <c r="E60" s="59">
        <v>248</v>
      </c>
    </row>
    <row r="87" spans="3:5" ht="15" thickBot="1" x14ac:dyDescent="0.35"/>
    <row r="88" spans="3:5" ht="28.2" thickBot="1" x14ac:dyDescent="0.35">
      <c r="C88" s="61" t="s">
        <v>275</v>
      </c>
      <c r="D88" s="62" t="s">
        <v>263</v>
      </c>
      <c r="E88" s="63" t="s">
        <v>264</v>
      </c>
    </row>
    <row r="89" spans="3:5" ht="15" thickBot="1" x14ac:dyDescent="0.35">
      <c r="C89" s="64" t="s">
        <v>37</v>
      </c>
      <c r="D89" s="60">
        <v>17</v>
      </c>
      <c r="E89" s="65">
        <v>30</v>
      </c>
    </row>
    <row r="90" spans="3:5" ht="15" thickBot="1" x14ac:dyDescent="0.35">
      <c r="C90" s="64" t="s">
        <v>37</v>
      </c>
      <c r="D90" s="60">
        <v>34</v>
      </c>
      <c r="E90" s="65">
        <v>30</v>
      </c>
    </row>
    <row r="91" spans="3:5" ht="15" thickBot="1" x14ac:dyDescent="0.35">
      <c r="C91" s="64" t="s">
        <v>37</v>
      </c>
      <c r="D91" s="60">
        <v>34</v>
      </c>
      <c r="E91" s="65">
        <v>159</v>
      </c>
    </row>
    <row r="92" spans="3:5" ht="15" thickBot="1" x14ac:dyDescent="0.35">
      <c r="C92" s="64" t="s">
        <v>37</v>
      </c>
      <c r="D92" s="60">
        <v>17</v>
      </c>
      <c r="E92" s="65">
        <v>159</v>
      </c>
    </row>
    <row r="93" spans="3:5" ht="15" thickBot="1" x14ac:dyDescent="0.35">
      <c r="C93" s="64" t="s">
        <v>37</v>
      </c>
      <c r="D93" s="60">
        <v>17</v>
      </c>
      <c r="E93" s="65">
        <v>30</v>
      </c>
    </row>
    <row r="94" spans="3:5" ht="15" thickBot="1" x14ac:dyDescent="0.35">
      <c r="C94" s="64" t="s">
        <v>39</v>
      </c>
      <c r="D94" s="60">
        <v>17</v>
      </c>
      <c r="E94" s="65">
        <v>26</v>
      </c>
    </row>
    <row r="95" spans="3:5" ht="15" thickBot="1" x14ac:dyDescent="0.35">
      <c r="C95" s="64" t="s">
        <v>39</v>
      </c>
      <c r="D95" s="60">
        <v>23</v>
      </c>
      <c r="E95" s="65">
        <v>26</v>
      </c>
    </row>
    <row r="96" spans="3:5" ht="15" thickBot="1" x14ac:dyDescent="0.35">
      <c r="C96" s="64" t="s">
        <v>39</v>
      </c>
      <c r="D96" s="60">
        <v>23</v>
      </c>
      <c r="E96" s="65">
        <v>181</v>
      </c>
    </row>
    <row r="97" spans="3:5" ht="15" thickBot="1" x14ac:dyDescent="0.35">
      <c r="C97" s="64" t="s">
        <v>39</v>
      </c>
      <c r="D97" s="60">
        <v>17</v>
      </c>
      <c r="E97" s="65">
        <v>181</v>
      </c>
    </row>
    <row r="98" spans="3:5" x14ac:dyDescent="0.3">
      <c r="C98" s="66" t="s">
        <v>39</v>
      </c>
      <c r="D98" s="67">
        <v>17</v>
      </c>
      <c r="E98" s="68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8D67-52EB-42D4-A6A9-E54D9412014E}">
  <dimension ref="A1:C63"/>
  <sheetViews>
    <sheetView zoomScale="108" workbookViewId="0">
      <selection activeCell="C1" sqref="C1:C16"/>
    </sheetView>
  </sheetViews>
  <sheetFormatPr defaultRowHeight="14.4" x14ac:dyDescent="0.3"/>
  <cols>
    <col min="1" max="1" width="12" bestFit="1" customWidth="1"/>
  </cols>
  <sheetData>
    <row r="1" spans="1:3" ht="15" thickBot="1" x14ac:dyDescent="0.35">
      <c r="A1" t="s">
        <v>42</v>
      </c>
      <c r="C1" s="25" t="s">
        <v>43</v>
      </c>
    </row>
    <row r="2" spans="1:3" ht="15" thickBot="1" x14ac:dyDescent="0.35">
      <c r="A2" s="4">
        <v>1</v>
      </c>
      <c r="C2" s="1">
        <v>17</v>
      </c>
    </row>
    <row r="3" spans="1:3" ht="15" thickBot="1" x14ac:dyDescent="0.35">
      <c r="A3" s="3">
        <v>2</v>
      </c>
      <c r="C3" s="1">
        <v>19</v>
      </c>
    </row>
    <row r="4" spans="1:3" ht="15" thickBot="1" x14ac:dyDescent="0.35">
      <c r="A4" s="5">
        <v>3</v>
      </c>
      <c r="C4" s="1">
        <v>26</v>
      </c>
    </row>
    <row r="5" spans="1:3" ht="15" thickBot="1" x14ac:dyDescent="0.35">
      <c r="A5" s="5">
        <v>4</v>
      </c>
      <c r="C5" s="1">
        <v>28</v>
      </c>
    </row>
    <row r="6" spans="1:3" ht="15" thickBot="1" x14ac:dyDescent="0.35">
      <c r="A6" s="3">
        <v>5</v>
      </c>
      <c r="C6" s="1">
        <v>30</v>
      </c>
    </row>
    <row r="7" spans="1:3" ht="15" thickBot="1" x14ac:dyDescent="0.35">
      <c r="A7" s="5">
        <v>6</v>
      </c>
      <c r="C7" s="1">
        <v>33</v>
      </c>
    </row>
    <row r="8" spans="1:3" ht="15" thickBot="1" x14ac:dyDescent="0.35">
      <c r="A8" s="5">
        <v>7</v>
      </c>
      <c r="C8" s="1">
        <v>39</v>
      </c>
    </row>
    <row r="9" spans="1:3" ht="15" thickBot="1" x14ac:dyDescent="0.35">
      <c r="A9" s="5">
        <v>8</v>
      </c>
      <c r="C9" s="1">
        <v>46</v>
      </c>
    </row>
    <row r="10" spans="1:3" ht="15" thickBot="1" x14ac:dyDescent="0.35">
      <c r="A10" s="3">
        <v>9</v>
      </c>
      <c r="C10" s="1">
        <v>49</v>
      </c>
    </row>
    <row r="11" spans="1:3" ht="15" thickBot="1" x14ac:dyDescent="0.35">
      <c r="A11" s="17">
        <v>10</v>
      </c>
      <c r="C11" s="1">
        <v>51</v>
      </c>
    </row>
    <row r="12" spans="1:3" ht="15" thickBot="1" x14ac:dyDescent="0.35">
      <c r="A12" s="5">
        <v>11</v>
      </c>
      <c r="C12" s="1">
        <v>54</v>
      </c>
    </row>
    <row r="13" spans="1:3" ht="15" thickBot="1" x14ac:dyDescent="0.35">
      <c r="A13" s="3">
        <v>12</v>
      </c>
      <c r="C13" s="1">
        <v>56</v>
      </c>
    </row>
    <row r="14" spans="1:3" ht="15" thickBot="1" x14ac:dyDescent="0.35">
      <c r="A14" s="3">
        <v>13</v>
      </c>
      <c r="C14" s="1">
        <v>64</v>
      </c>
    </row>
    <row r="15" spans="1:3" ht="15" thickBot="1" x14ac:dyDescent="0.35">
      <c r="A15" s="3">
        <v>14</v>
      </c>
      <c r="C15" s="1">
        <v>65</v>
      </c>
    </row>
    <row r="16" spans="1:3" ht="15" thickBot="1" x14ac:dyDescent="0.35">
      <c r="A16" s="5">
        <v>15</v>
      </c>
      <c r="C16" s="2">
        <v>70</v>
      </c>
    </row>
    <row r="17" spans="1:1" ht="15" thickBot="1" x14ac:dyDescent="0.35">
      <c r="A17" s="5">
        <v>16</v>
      </c>
    </row>
    <row r="18" spans="1:1" ht="15" thickBot="1" x14ac:dyDescent="0.35">
      <c r="A18" s="5">
        <v>18</v>
      </c>
    </row>
    <row r="19" spans="1:1" ht="15" thickBot="1" x14ac:dyDescent="0.35">
      <c r="A19" s="16">
        <v>20</v>
      </c>
    </row>
    <row r="20" spans="1:1" ht="15" thickBot="1" x14ac:dyDescent="0.35">
      <c r="A20" s="3">
        <v>21</v>
      </c>
    </row>
    <row r="21" spans="1:1" ht="15" thickBot="1" x14ac:dyDescent="0.35">
      <c r="A21" s="3">
        <v>22</v>
      </c>
    </row>
    <row r="22" spans="1:1" ht="15" thickBot="1" x14ac:dyDescent="0.35">
      <c r="A22" s="5">
        <v>23</v>
      </c>
    </row>
    <row r="23" spans="1:1" ht="15" thickBot="1" x14ac:dyDescent="0.35">
      <c r="A23" s="5">
        <v>24</v>
      </c>
    </row>
    <row r="24" spans="1:1" ht="15" thickBot="1" x14ac:dyDescent="0.35">
      <c r="A24" s="5">
        <v>25</v>
      </c>
    </row>
    <row r="25" spans="1:1" ht="15" thickBot="1" x14ac:dyDescent="0.35">
      <c r="A25" s="5">
        <v>27</v>
      </c>
    </row>
    <row r="26" spans="1:1" ht="15" thickBot="1" x14ac:dyDescent="0.35">
      <c r="A26" s="17">
        <v>29</v>
      </c>
    </row>
    <row r="27" spans="1:1" ht="15" thickBot="1" x14ac:dyDescent="0.35">
      <c r="A27" s="3">
        <v>31</v>
      </c>
    </row>
    <row r="28" spans="1:1" ht="15" thickBot="1" x14ac:dyDescent="0.35">
      <c r="A28" s="3">
        <v>32</v>
      </c>
    </row>
    <row r="29" spans="1:1" ht="15" thickBot="1" x14ac:dyDescent="0.35">
      <c r="A29" s="5">
        <v>34</v>
      </c>
    </row>
    <row r="30" spans="1:1" ht="15" thickBot="1" x14ac:dyDescent="0.35">
      <c r="A30" s="5">
        <v>35</v>
      </c>
    </row>
    <row r="31" spans="1:1" ht="15" thickBot="1" x14ac:dyDescent="0.35">
      <c r="A31" s="5">
        <v>36</v>
      </c>
    </row>
    <row r="32" spans="1:1" ht="15" thickBot="1" x14ac:dyDescent="0.35">
      <c r="A32" s="5">
        <v>37</v>
      </c>
    </row>
    <row r="33" spans="1:1" ht="15" thickBot="1" x14ac:dyDescent="0.35">
      <c r="A33" s="5">
        <v>38</v>
      </c>
    </row>
    <row r="34" spans="1:1" ht="15" thickBot="1" x14ac:dyDescent="0.35">
      <c r="A34" s="5">
        <v>40</v>
      </c>
    </row>
    <row r="35" spans="1:1" ht="15" thickBot="1" x14ac:dyDescent="0.35">
      <c r="A35" s="5">
        <v>41</v>
      </c>
    </row>
    <row r="36" spans="1:1" ht="15" thickBot="1" x14ac:dyDescent="0.35">
      <c r="A36" s="5">
        <v>42</v>
      </c>
    </row>
    <row r="37" spans="1:1" ht="15" thickBot="1" x14ac:dyDescent="0.35">
      <c r="A37" s="5">
        <v>43</v>
      </c>
    </row>
    <row r="38" spans="1:1" ht="15" thickBot="1" x14ac:dyDescent="0.35">
      <c r="A38" s="5">
        <v>44</v>
      </c>
    </row>
    <row r="39" spans="1:1" ht="15" thickBot="1" x14ac:dyDescent="0.35">
      <c r="A39" s="5">
        <v>45</v>
      </c>
    </row>
    <row r="40" spans="1:1" ht="15" thickBot="1" x14ac:dyDescent="0.35">
      <c r="A40" s="5">
        <v>47</v>
      </c>
    </row>
    <row r="41" spans="1:1" ht="15" thickBot="1" x14ac:dyDescent="0.35">
      <c r="A41" s="5">
        <v>48</v>
      </c>
    </row>
    <row r="42" spans="1:1" ht="15" thickBot="1" x14ac:dyDescent="0.35">
      <c r="A42" s="5">
        <v>50</v>
      </c>
    </row>
    <row r="43" spans="1:1" ht="15" thickBot="1" x14ac:dyDescent="0.35">
      <c r="A43" s="5">
        <v>52</v>
      </c>
    </row>
    <row r="44" spans="1:1" ht="15" thickBot="1" x14ac:dyDescent="0.35">
      <c r="A44" s="17">
        <v>53</v>
      </c>
    </row>
    <row r="45" spans="1:1" ht="15" thickBot="1" x14ac:dyDescent="0.35">
      <c r="A45" s="5">
        <v>55</v>
      </c>
    </row>
    <row r="46" spans="1:1" ht="15" thickBot="1" x14ac:dyDescent="0.35">
      <c r="A46" s="5">
        <v>57</v>
      </c>
    </row>
    <row r="47" spans="1:1" ht="15" thickBot="1" x14ac:dyDescent="0.35">
      <c r="A47" s="5">
        <v>58</v>
      </c>
    </row>
    <row r="48" spans="1:1" ht="15" thickBot="1" x14ac:dyDescent="0.35">
      <c r="A48" s="5">
        <v>59</v>
      </c>
    </row>
    <row r="49" spans="1:1" ht="15" thickBot="1" x14ac:dyDescent="0.35">
      <c r="A49" s="5">
        <v>60</v>
      </c>
    </row>
    <row r="50" spans="1:1" ht="15" thickBot="1" x14ac:dyDescent="0.35">
      <c r="A50" s="5">
        <v>61</v>
      </c>
    </row>
    <row r="51" spans="1:1" ht="15" thickBot="1" x14ac:dyDescent="0.35">
      <c r="A51" s="5">
        <v>62</v>
      </c>
    </row>
    <row r="52" spans="1:1" ht="15" thickBot="1" x14ac:dyDescent="0.35">
      <c r="A52" s="5">
        <v>63</v>
      </c>
    </row>
    <row r="53" spans="1:1" ht="15" thickBot="1" x14ac:dyDescent="0.35">
      <c r="A53" s="5">
        <v>66</v>
      </c>
    </row>
    <row r="54" spans="1:1" ht="15" thickBot="1" x14ac:dyDescent="0.35">
      <c r="A54" s="5">
        <v>67</v>
      </c>
    </row>
    <row r="55" spans="1:1" ht="15" thickBot="1" x14ac:dyDescent="0.35">
      <c r="A55" s="5">
        <v>68</v>
      </c>
    </row>
    <row r="56" spans="1:1" ht="15" thickBot="1" x14ac:dyDescent="0.35">
      <c r="A56" s="5">
        <v>69</v>
      </c>
    </row>
    <row r="57" spans="1:1" ht="15" thickBot="1" x14ac:dyDescent="0.35">
      <c r="A57" s="5">
        <v>71</v>
      </c>
    </row>
    <row r="58" spans="1:1" ht="15" thickBot="1" x14ac:dyDescent="0.35">
      <c r="A58" s="5">
        <v>72</v>
      </c>
    </row>
    <row r="59" spans="1:1" ht="15" thickBot="1" x14ac:dyDescent="0.35">
      <c r="A59" s="17">
        <v>73</v>
      </c>
    </row>
    <row r="60" spans="1:1" x14ac:dyDescent="0.3">
      <c r="A60" s="8">
        <v>74</v>
      </c>
    </row>
    <row r="62" spans="1:1" ht="27" x14ac:dyDescent="0.3">
      <c r="A62" s="7"/>
    </row>
    <row r="63" spans="1:1" ht="15" x14ac:dyDescent="0.3">
      <c r="A6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4A5E-A891-457D-ACFD-0FD12D1D9279}">
  <dimension ref="A1:X140"/>
  <sheetViews>
    <sheetView topLeftCell="A110" workbookViewId="0">
      <selection activeCell="C31" sqref="C31"/>
    </sheetView>
  </sheetViews>
  <sheetFormatPr defaultColWidth="8.77734375" defaultRowHeight="14.4" x14ac:dyDescent="0.3"/>
  <cols>
    <col min="1" max="12" width="8.77734375" style="18"/>
    <col min="13" max="13" width="14" style="18" bestFit="1" customWidth="1"/>
    <col min="14" max="28" width="8.77734375" style="18"/>
    <col min="29" max="34" width="8.77734375" style="18" bestFit="1" customWidth="1"/>
    <col min="35" max="16384" width="8.77734375" style="18"/>
  </cols>
  <sheetData>
    <row r="1" spans="1:24" ht="15" thickBot="1" x14ac:dyDescent="0.35">
      <c r="A1" s="18" t="s">
        <v>44</v>
      </c>
      <c r="E1" s="18" t="s">
        <v>45</v>
      </c>
      <c r="F1" s="18" t="s">
        <v>46</v>
      </c>
      <c r="G1" s="18" t="s">
        <v>47</v>
      </c>
      <c r="H1" s="18" t="s">
        <v>48</v>
      </c>
      <c r="I1" s="18" t="s">
        <v>49</v>
      </c>
      <c r="J1" s="18" t="s">
        <v>50</v>
      </c>
      <c r="K1" s="18" t="s">
        <v>51</v>
      </c>
      <c r="L1" s="18" t="s">
        <v>52</v>
      </c>
      <c r="N1"/>
      <c r="O1" t="s">
        <v>259</v>
      </c>
      <c r="P1"/>
      <c r="Q1"/>
      <c r="R1"/>
      <c r="S1"/>
      <c r="T1"/>
      <c r="U1"/>
      <c r="V1"/>
      <c r="W1"/>
      <c r="X1"/>
    </row>
    <row r="2" spans="1:24" ht="15" thickBot="1" x14ac:dyDescent="0.35">
      <c r="A2" s="18" t="s">
        <v>53</v>
      </c>
      <c r="E2" s="18" t="s">
        <v>54</v>
      </c>
      <c r="F2" s="18" t="s">
        <v>55</v>
      </c>
      <c r="G2" s="18" t="s">
        <v>56</v>
      </c>
      <c r="H2" s="18" t="s">
        <v>57</v>
      </c>
      <c r="I2" s="18" t="s">
        <v>58</v>
      </c>
      <c r="J2" s="18" t="s">
        <v>59</v>
      </c>
      <c r="K2" s="18" t="s">
        <v>55</v>
      </c>
      <c r="N2" t="s">
        <v>260</v>
      </c>
      <c r="O2" s="31"/>
      <c r="P2" s="55" t="s">
        <v>250</v>
      </c>
      <c r="Q2" s="56" t="s">
        <v>251</v>
      </c>
      <c r="R2" s="54" t="s">
        <v>252</v>
      </c>
      <c r="S2" s="53" t="s">
        <v>253</v>
      </c>
      <c r="T2" s="40" t="s">
        <v>255</v>
      </c>
      <c r="U2" s="52" t="s">
        <v>254</v>
      </c>
      <c r="V2" s="41" t="s">
        <v>256</v>
      </c>
      <c r="W2" s="42" t="s">
        <v>258</v>
      </c>
      <c r="X2" s="43" t="s">
        <v>257</v>
      </c>
    </row>
    <row r="3" spans="1:24" x14ac:dyDescent="0.3">
      <c r="A3" s="18" t="s">
        <v>60</v>
      </c>
      <c r="E3" s="18" t="s">
        <v>45</v>
      </c>
      <c r="F3" s="18" t="s">
        <v>46</v>
      </c>
      <c r="G3" s="18" t="s">
        <v>47</v>
      </c>
      <c r="H3" s="18" t="s">
        <v>48</v>
      </c>
      <c r="I3" s="18" t="s">
        <v>49</v>
      </c>
      <c r="J3" s="18" t="s">
        <v>50</v>
      </c>
      <c r="K3" s="18" t="s">
        <v>51</v>
      </c>
      <c r="L3" s="18" t="s">
        <v>52</v>
      </c>
      <c r="M3" s="18" t="s">
        <v>61</v>
      </c>
      <c r="N3" t="s">
        <v>261</v>
      </c>
      <c r="O3" s="32" t="s">
        <v>250</v>
      </c>
      <c r="P3" s="48">
        <v>208</v>
      </c>
      <c r="Q3" s="51">
        <v>0</v>
      </c>
      <c r="R3" s="51">
        <v>0</v>
      </c>
      <c r="S3" s="51">
        <v>0</v>
      </c>
      <c r="T3" s="44">
        <v>0</v>
      </c>
      <c r="U3" s="51">
        <v>0</v>
      </c>
      <c r="V3" s="44">
        <v>0</v>
      </c>
      <c r="W3" s="44">
        <v>0</v>
      </c>
      <c r="X3" s="45">
        <v>0</v>
      </c>
    </row>
    <row r="4" spans="1:24" x14ac:dyDescent="0.3">
      <c r="A4" s="18" t="s">
        <v>62</v>
      </c>
      <c r="E4" s="18" t="s">
        <v>63</v>
      </c>
      <c r="F4" s="18" t="s">
        <v>64</v>
      </c>
      <c r="G4" s="18" t="s">
        <v>54</v>
      </c>
      <c r="H4" s="18" t="s">
        <v>57</v>
      </c>
      <c r="I4" s="18" t="s">
        <v>65</v>
      </c>
      <c r="J4" s="18" t="s">
        <v>66</v>
      </c>
      <c r="K4" s="18" t="s">
        <v>67</v>
      </c>
      <c r="N4" t="s">
        <v>261</v>
      </c>
      <c r="O4" s="33" t="s">
        <v>251</v>
      </c>
      <c r="P4" s="47">
        <v>0</v>
      </c>
      <c r="Q4" s="50">
        <v>245</v>
      </c>
      <c r="R4" s="50">
        <v>0</v>
      </c>
      <c r="S4" s="50">
        <v>0</v>
      </c>
      <c r="T4" s="27">
        <v>0</v>
      </c>
      <c r="U4" s="50">
        <v>0</v>
      </c>
      <c r="V4" s="27">
        <v>0</v>
      </c>
      <c r="W4" s="27">
        <v>0</v>
      </c>
      <c r="X4" s="28">
        <v>0</v>
      </c>
    </row>
    <row r="5" spans="1:24" x14ac:dyDescent="0.3">
      <c r="A5" s="18" t="s">
        <v>68</v>
      </c>
      <c r="E5" s="18" t="s">
        <v>45</v>
      </c>
      <c r="F5" s="18" t="s">
        <v>46</v>
      </c>
      <c r="G5" s="18" t="s">
        <v>47</v>
      </c>
      <c r="H5" s="18" t="s">
        <v>48</v>
      </c>
      <c r="I5" s="18" t="s">
        <v>49</v>
      </c>
      <c r="J5" s="18" t="s">
        <v>50</v>
      </c>
      <c r="K5" s="18" t="s">
        <v>51</v>
      </c>
      <c r="L5" s="18" t="s">
        <v>52</v>
      </c>
      <c r="N5" t="s">
        <v>262</v>
      </c>
      <c r="O5" s="34" t="s">
        <v>252</v>
      </c>
      <c r="P5" s="47">
        <v>0</v>
      </c>
      <c r="Q5" s="50">
        <v>0</v>
      </c>
      <c r="R5" s="50">
        <v>306</v>
      </c>
      <c r="S5" s="50">
        <v>0</v>
      </c>
      <c r="T5" s="27">
        <v>0</v>
      </c>
      <c r="U5" s="50">
        <v>0</v>
      </c>
      <c r="V5" s="27">
        <v>1</v>
      </c>
      <c r="W5" s="27">
        <v>0</v>
      </c>
      <c r="X5" s="28">
        <v>1</v>
      </c>
    </row>
    <row r="6" spans="1:24" x14ac:dyDescent="0.3">
      <c r="A6" s="18" t="s">
        <v>53</v>
      </c>
      <c r="E6" s="18" t="s">
        <v>63</v>
      </c>
      <c r="F6" s="18" t="s">
        <v>69</v>
      </c>
      <c r="G6" s="18" t="s">
        <v>70</v>
      </c>
      <c r="H6" s="18" t="s">
        <v>64</v>
      </c>
      <c r="I6" s="18" t="s">
        <v>56</v>
      </c>
      <c r="J6" s="18" t="s">
        <v>71</v>
      </c>
      <c r="K6" s="18" t="s">
        <v>72</v>
      </c>
      <c r="N6"/>
      <c r="O6" s="35" t="s">
        <v>253</v>
      </c>
      <c r="P6" s="47">
        <v>0</v>
      </c>
      <c r="Q6" s="50">
        <v>0</v>
      </c>
      <c r="R6" s="50">
        <v>0</v>
      </c>
      <c r="S6" s="50">
        <v>383</v>
      </c>
      <c r="T6" s="27">
        <v>0</v>
      </c>
      <c r="U6" s="50">
        <v>0</v>
      </c>
      <c r="V6" s="27">
        <v>0</v>
      </c>
      <c r="W6" s="27">
        <v>0</v>
      </c>
      <c r="X6" s="28">
        <v>0</v>
      </c>
    </row>
    <row r="7" spans="1:24" x14ac:dyDescent="0.3">
      <c r="A7" s="18" t="s">
        <v>73</v>
      </c>
      <c r="E7" s="18" t="s">
        <v>45</v>
      </c>
      <c r="F7" s="18" t="s">
        <v>46</v>
      </c>
      <c r="G7" s="18" t="s">
        <v>47</v>
      </c>
      <c r="H7" s="18" t="s">
        <v>48</v>
      </c>
      <c r="I7" s="18" t="s">
        <v>49</v>
      </c>
      <c r="J7" s="18" t="s">
        <v>50</v>
      </c>
      <c r="K7" s="18" t="s">
        <v>51</v>
      </c>
      <c r="L7" s="18" t="s">
        <v>52</v>
      </c>
      <c r="N7"/>
      <c r="O7" s="37" t="s">
        <v>255</v>
      </c>
      <c r="P7" s="47">
        <v>0</v>
      </c>
      <c r="Q7" s="50">
        <v>0</v>
      </c>
      <c r="R7" s="50">
        <v>0</v>
      </c>
      <c r="S7" s="50">
        <v>0</v>
      </c>
      <c r="T7" s="27">
        <v>148</v>
      </c>
      <c r="U7" s="50">
        <v>0</v>
      </c>
      <c r="V7" s="27">
        <v>0</v>
      </c>
      <c r="W7" s="27">
        <v>0</v>
      </c>
      <c r="X7" s="28">
        <v>0</v>
      </c>
    </row>
    <row r="8" spans="1:24" x14ac:dyDescent="0.3">
      <c r="A8" s="18" t="s">
        <v>53</v>
      </c>
      <c r="E8" s="18" t="s">
        <v>74</v>
      </c>
      <c r="F8" s="18" t="s">
        <v>75</v>
      </c>
      <c r="G8" s="18" t="s">
        <v>70</v>
      </c>
      <c r="H8" s="18" t="s">
        <v>76</v>
      </c>
      <c r="I8" s="18" t="s">
        <v>54</v>
      </c>
      <c r="J8" s="18" t="s">
        <v>71</v>
      </c>
      <c r="K8" s="18" t="s">
        <v>77</v>
      </c>
      <c r="N8"/>
      <c r="O8" s="36" t="s">
        <v>254</v>
      </c>
      <c r="P8" s="47">
        <v>0</v>
      </c>
      <c r="Q8" s="50">
        <v>0</v>
      </c>
      <c r="R8" s="50">
        <v>0</v>
      </c>
      <c r="S8" s="50">
        <v>0</v>
      </c>
      <c r="T8">
        <v>2</v>
      </c>
      <c r="U8" s="50">
        <v>86</v>
      </c>
      <c r="V8" s="27">
        <v>0</v>
      </c>
      <c r="W8" s="27">
        <v>1</v>
      </c>
      <c r="X8" s="28">
        <v>1</v>
      </c>
    </row>
    <row r="9" spans="1:24" x14ac:dyDescent="0.3">
      <c r="A9" s="18" t="s">
        <v>78</v>
      </c>
      <c r="E9" s="18" t="s">
        <v>45</v>
      </c>
      <c r="F9" s="18" t="s">
        <v>46</v>
      </c>
      <c r="G9" s="18" t="s">
        <v>47</v>
      </c>
      <c r="H9" s="18" t="s">
        <v>48</v>
      </c>
      <c r="I9" s="18" t="s">
        <v>49</v>
      </c>
      <c r="J9" s="18" t="s">
        <v>50</v>
      </c>
      <c r="K9" s="18" t="s">
        <v>51</v>
      </c>
      <c r="L9" s="18" t="s">
        <v>52</v>
      </c>
      <c r="M9" s="18" t="s">
        <v>79</v>
      </c>
      <c r="N9"/>
      <c r="O9" s="38" t="s">
        <v>256</v>
      </c>
      <c r="P9" s="47">
        <v>0</v>
      </c>
      <c r="Q9" s="50">
        <v>0</v>
      </c>
      <c r="R9" s="50">
        <v>13</v>
      </c>
      <c r="S9" s="50">
        <v>1</v>
      </c>
      <c r="T9" s="27">
        <v>19</v>
      </c>
      <c r="U9" s="50">
        <v>5</v>
      </c>
      <c r="V9" s="27">
        <v>12</v>
      </c>
      <c r="W9" s="27">
        <v>1</v>
      </c>
      <c r="X9" s="28">
        <v>7</v>
      </c>
    </row>
    <row r="10" spans="1:24" ht="15" thickBot="1" x14ac:dyDescent="0.35">
      <c r="A10" s="18" t="s">
        <v>62</v>
      </c>
      <c r="E10" s="18" t="s">
        <v>80</v>
      </c>
      <c r="F10" s="18" t="s">
        <v>81</v>
      </c>
      <c r="G10" s="18" t="s">
        <v>75</v>
      </c>
      <c r="H10" s="18" t="s">
        <v>82</v>
      </c>
      <c r="I10" s="18" t="s">
        <v>83</v>
      </c>
      <c r="J10" s="18" t="s">
        <v>71</v>
      </c>
      <c r="K10" s="18" t="s">
        <v>84</v>
      </c>
      <c r="N10"/>
      <c r="O10" s="39" t="s">
        <v>258</v>
      </c>
      <c r="P10" s="46">
        <v>0</v>
      </c>
      <c r="Q10" s="49">
        <v>0</v>
      </c>
      <c r="R10" s="49">
        <v>0</v>
      </c>
      <c r="S10" s="49">
        <v>16</v>
      </c>
      <c r="T10" s="29">
        <v>0</v>
      </c>
      <c r="U10" s="49">
        <v>0</v>
      </c>
      <c r="V10" s="29">
        <v>0</v>
      </c>
      <c r="W10" s="29">
        <v>10</v>
      </c>
      <c r="X10" s="30">
        <v>10</v>
      </c>
    </row>
    <row r="11" spans="1:24" x14ac:dyDescent="0.3">
      <c r="A11" s="18" t="s">
        <v>85</v>
      </c>
      <c r="E11" s="18" t="s">
        <v>45</v>
      </c>
      <c r="F11" s="18" t="s">
        <v>46</v>
      </c>
      <c r="G11" s="18" t="s">
        <v>47</v>
      </c>
      <c r="H11" s="18" t="s">
        <v>48</v>
      </c>
      <c r="I11" s="18" t="s">
        <v>49</v>
      </c>
      <c r="J11" s="18" t="s">
        <v>50</v>
      </c>
      <c r="K11" s="18" t="s">
        <v>51</v>
      </c>
      <c r="L11" s="18" t="s">
        <v>52</v>
      </c>
      <c r="M11" s="18" t="s">
        <v>86</v>
      </c>
    </row>
    <row r="12" spans="1:24" x14ac:dyDescent="0.3">
      <c r="A12" s="18" t="s">
        <v>249</v>
      </c>
      <c r="E12" s="18" t="s">
        <v>87</v>
      </c>
      <c r="F12" s="18" t="s">
        <v>88</v>
      </c>
      <c r="G12" s="18" t="s">
        <v>81</v>
      </c>
      <c r="H12" s="18" t="s">
        <v>82</v>
      </c>
      <c r="I12" s="18" t="s">
        <v>89</v>
      </c>
      <c r="J12" s="18" t="s">
        <v>90</v>
      </c>
      <c r="K12" s="18" t="s">
        <v>91</v>
      </c>
      <c r="T12" s="18">
        <f>SUM(T3:T11)</f>
        <v>169</v>
      </c>
      <c r="U12" s="18">
        <f>SUM(U3:U11)</f>
        <v>91</v>
      </c>
    </row>
    <row r="13" spans="1:24" x14ac:dyDescent="0.3">
      <c r="A13" s="18" t="s">
        <v>92</v>
      </c>
      <c r="E13" s="18" t="s">
        <v>45</v>
      </c>
      <c r="F13" s="18" t="s">
        <v>46</v>
      </c>
      <c r="G13" s="18" t="s">
        <v>47</v>
      </c>
      <c r="H13" s="18" t="s">
        <v>48</v>
      </c>
      <c r="I13" s="18" t="s">
        <v>49</v>
      </c>
      <c r="J13" s="18" t="s">
        <v>50</v>
      </c>
      <c r="K13" s="18" t="s">
        <v>51</v>
      </c>
      <c r="L13" s="18" t="s">
        <v>52</v>
      </c>
      <c r="M13" s="18" t="s">
        <v>93</v>
      </c>
    </row>
    <row r="14" spans="1:24" x14ac:dyDescent="0.3">
      <c r="A14" s="18" t="s">
        <v>94</v>
      </c>
      <c r="E14" s="18" t="s">
        <v>87</v>
      </c>
      <c r="F14" s="18" t="s">
        <v>95</v>
      </c>
      <c r="G14" s="18" t="s">
        <v>96</v>
      </c>
      <c r="H14" s="18" t="s">
        <v>75</v>
      </c>
      <c r="I14" s="18" t="s">
        <v>97</v>
      </c>
      <c r="J14" s="18" t="s">
        <v>98</v>
      </c>
      <c r="K14" s="18" t="s">
        <v>99</v>
      </c>
    </row>
    <row r="15" spans="1:24" ht="15" thickBot="1" x14ac:dyDescent="0.35">
      <c r="A15" s="18" t="s">
        <v>100</v>
      </c>
      <c r="E15" s="18" t="s">
        <v>45</v>
      </c>
      <c r="F15" s="18" t="s">
        <v>46</v>
      </c>
      <c r="G15" s="18" t="s">
        <v>47</v>
      </c>
      <c r="H15" s="18" t="s">
        <v>48</v>
      </c>
      <c r="I15" s="18" t="s">
        <v>49</v>
      </c>
      <c r="J15" s="18" t="s">
        <v>50</v>
      </c>
      <c r="K15" s="18" t="s">
        <v>51</v>
      </c>
      <c r="L15" s="18" t="s">
        <v>52</v>
      </c>
      <c r="M15" s="18" t="s">
        <v>86</v>
      </c>
    </row>
    <row r="16" spans="1:24" ht="42" thickBot="1" x14ac:dyDescent="0.35">
      <c r="A16" s="18" t="s">
        <v>94</v>
      </c>
      <c r="E16" s="18" t="s">
        <v>75</v>
      </c>
      <c r="F16" s="18" t="s">
        <v>101</v>
      </c>
      <c r="G16" s="18" t="s">
        <v>102</v>
      </c>
      <c r="H16" s="18" t="s">
        <v>103</v>
      </c>
      <c r="I16" s="18" t="s">
        <v>104</v>
      </c>
      <c r="J16" s="18" t="s">
        <v>98</v>
      </c>
      <c r="K16" s="18" t="s">
        <v>105</v>
      </c>
      <c r="O16" s="19" t="s">
        <v>106</v>
      </c>
    </row>
    <row r="17" spans="1:15" ht="15" thickBot="1" x14ac:dyDescent="0.35">
      <c r="A17" s="18" t="s">
        <v>107</v>
      </c>
      <c r="E17" s="18" t="s">
        <v>45</v>
      </c>
      <c r="F17" s="18" t="s">
        <v>46</v>
      </c>
      <c r="G17" s="18" t="s">
        <v>47</v>
      </c>
      <c r="H17" s="18" t="s">
        <v>48</v>
      </c>
      <c r="I17" s="18" t="s">
        <v>49</v>
      </c>
      <c r="J17" s="18" t="s">
        <v>50</v>
      </c>
      <c r="K17" s="18" t="s">
        <v>51</v>
      </c>
      <c r="L17" s="18" t="s">
        <v>52</v>
      </c>
      <c r="O17" s="20">
        <v>17</v>
      </c>
    </row>
    <row r="18" spans="1:15" ht="15" thickBot="1" x14ac:dyDescent="0.35">
      <c r="A18" s="18" t="s">
        <v>53</v>
      </c>
      <c r="E18" s="18" t="s">
        <v>108</v>
      </c>
      <c r="F18" s="18" t="s">
        <v>109</v>
      </c>
      <c r="G18" s="18" t="s">
        <v>95</v>
      </c>
      <c r="H18" s="18" t="s">
        <v>88</v>
      </c>
      <c r="I18" s="18" t="s">
        <v>82</v>
      </c>
      <c r="J18" s="18" t="s">
        <v>110</v>
      </c>
      <c r="K18" s="18" t="s">
        <v>111</v>
      </c>
      <c r="L18" s="18" t="s">
        <v>58</v>
      </c>
      <c r="O18" s="20">
        <v>19</v>
      </c>
    </row>
    <row r="19" spans="1:15" ht="15" thickBot="1" x14ac:dyDescent="0.35">
      <c r="A19" s="18" t="s">
        <v>112</v>
      </c>
      <c r="E19" s="18" t="s">
        <v>45</v>
      </c>
      <c r="F19" s="18" t="s">
        <v>46</v>
      </c>
      <c r="G19" s="18" t="s">
        <v>47</v>
      </c>
      <c r="H19" s="18" t="s">
        <v>48</v>
      </c>
      <c r="I19" s="18" t="s">
        <v>49</v>
      </c>
      <c r="J19" s="18" t="s">
        <v>50</v>
      </c>
      <c r="K19" s="18" t="s">
        <v>51</v>
      </c>
      <c r="L19" s="18" t="s">
        <v>52</v>
      </c>
      <c r="M19" s="18" t="s">
        <v>113</v>
      </c>
      <c r="O19" s="20">
        <v>26</v>
      </c>
    </row>
    <row r="20" spans="1:15" ht="15" thickBot="1" x14ac:dyDescent="0.35">
      <c r="A20" s="18" t="s">
        <v>114</v>
      </c>
      <c r="E20" s="18" t="s">
        <v>108</v>
      </c>
      <c r="F20" s="18" t="s">
        <v>115</v>
      </c>
      <c r="G20" s="18" t="s">
        <v>116</v>
      </c>
      <c r="H20" s="18" t="s">
        <v>95</v>
      </c>
      <c r="I20" s="18" t="s">
        <v>117</v>
      </c>
      <c r="J20" s="18" t="s">
        <v>118</v>
      </c>
      <c r="K20" s="18" t="s">
        <v>119</v>
      </c>
      <c r="L20" s="18" t="s">
        <v>120</v>
      </c>
      <c r="O20" s="20">
        <v>28</v>
      </c>
    </row>
    <row r="21" spans="1:15" ht="15" thickBot="1" x14ac:dyDescent="0.35">
      <c r="A21" s="18" t="s">
        <v>121</v>
      </c>
      <c r="E21" s="18" t="s">
        <v>45</v>
      </c>
      <c r="F21" s="18" t="s">
        <v>46</v>
      </c>
      <c r="G21" s="18" t="s">
        <v>47</v>
      </c>
      <c r="H21" s="18" t="s">
        <v>48</v>
      </c>
      <c r="I21" s="18" t="s">
        <v>49</v>
      </c>
      <c r="J21" s="18" t="s">
        <v>50</v>
      </c>
      <c r="K21" s="18" t="s">
        <v>51</v>
      </c>
      <c r="L21" s="18" t="s">
        <v>52</v>
      </c>
      <c r="M21" s="18" t="s">
        <v>122</v>
      </c>
      <c r="O21" s="20">
        <v>30</v>
      </c>
    </row>
    <row r="22" spans="1:15" ht="15" thickBot="1" x14ac:dyDescent="0.35">
      <c r="A22" s="18" t="s">
        <v>123</v>
      </c>
      <c r="E22" s="18" t="s">
        <v>124</v>
      </c>
      <c r="F22" s="18" t="s">
        <v>125</v>
      </c>
      <c r="G22" s="18" t="s">
        <v>126</v>
      </c>
      <c r="H22" s="18" t="s">
        <v>127</v>
      </c>
      <c r="I22" s="18" t="s">
        <v>117</v>
      </c>
      <c r="J22" s="18" t="s">
        <v>128</v>
      </c>
      <c r="K22" s="18" t="s">
        <v>129</v>
      </c>
      <c r="L22" s="18" t="s">
        <v>130</v>
      </c>
      <c r="O22" s="20">
        <v>33</v>
      </c>
    </row>
    <row r="23" spans="1:15" ht="15" thickBot="1" x14ac:dyDescent="0.35">
      <c r="A23" s="18" t="s">
        <v>131</v>
      </c>
      <c r="E23" s="18" t="s">
        <v>45</v>
      </c>
      <c r="F23" s="18" t="s">
        <v>46</v>
      </c>
      <c r="G23" s="18" t="s">
        <v>47</v>
      </c>
      <c r="H23" s="18" t="s">
        <v>48</v>
      </c>
      <c r="I23" s="18" t="s">
        <v>49</v>
      </c>
      <c r="J23" s="18" t="s">
        <v>50</v>
      </c>
      <c r="K23" s="18" t="s">
        <v>51</v>
      </c>
      <c r="L23" s="18" t="s">
        <v>52</v>
      </c>
      <c r="M23" s="18" t="s">
        <v>122</v>
      </c>
      <c r="O23" s="20">
        <v>39</v>
      </c>
    </row>
    <row r="24" spans="1:15" ht="15" thickBot="1" x14ac:dyDescent="0.35">
      <c r="A24" s="18" t="s">
        <v>123</v>
      </c>
      <c r="E24" s="18" t="s">
        <v>102</v>
      </c>
      <c r="F24" s="18" t="s">
        <v>132</v>
      </c>
      <c r="G24" s="18" t="s">
        <v>133</v>
      </c>
      <c r="H24" s="18" t="s">
        <v>134</v>
      </c>
      <c r="I24" s="18" t="s">
        <v>75</v>
      </c>
      <c r="J24" s="18" t="s">
        <v>128</v>
      </c>
      <c r="K24" s="18" t="s">
        <v>135</v>
      </c>
      <c r="L24" s="18" t="s">
        <v>136</v>
      </c>
      <c r="O24" s="20">
        <v>46</v>
      </c>
    </row>
    <row r="25" spans="1:15" ht="15" thickBot="1" x14ac:dyDescent="0.35">
      <c r="A25" s="18" t="s">
        <v>137</v>
      </c>
      <c r="E25" s="18" t="s">
        <v>45</v>
      </c>
      <c r="F25" s="18" t="s">
        <v>46</v>
      </c>
      <c r="G25" s="18" t="s">
        <v>47</v>
      </c>
      <c r="H25" s="18" t="s">
        <v>48</v>
      </c>
      <c r="I25" s="18" t="s">
        <v>49</v>
      </c>
      <c r="J25" s="18" t="s">
        <v>50</v>
      </c>
      <c r="K25" s="18" t="s">
        <v>51</v>
      </c>
      <c r="L25" s="18" t="s">
        <v>52</v>
      </c>
      <c r="M25" s="18" t="s">
        <v>93</v>
      </c>
      <c r="O25" s="20">
        <v>49</v>
      </c>
    </row>
    <row r="26" spans="1:15" ht="15" thickBot="1" x14ac:dyDescent="0.35">
      <c r="A26" s="18" t="s">
        <v>94</v>
      </c>
      <c r="E26" s="18" t="s">
        <v>127</v>
      </c>
      <c r="F26" s="18" t="s">
        <v>138</v>
      </c>
      <c r="G26" s="18" t="s">
        <v>139</v>
      </c>
      <c r="H26" s="18" t="s">
        <v>101</v>
      </c>
      <c r="I26" s="18" t="s">
        <v>140</v>
      </c>
      <c r="J26" s="18" t="s">
        <v>141</v>
      </c>
      <c r="K26" s="18" t="s">
        <v>142</v>
      </c>
      <c r="L26" s="18" t="s">
        <v>119</v>
      </c>
      <c r="O26" s="20">
        <v>51</v>
      </c>
    </row>
    <row r="27" spans="1:15" ht="15" thickBot="1" x14ac:dyDescent="0.35">
      <c r="A27" s="18" t="s">
        <v>143</v>
      </c>
      <c r="E27" s="18" t="s">
        <v>45</v>
      </c>
      <c r="F27" s="18" t="s">
        <v>46</v>
      </c>
      <c r="G27" s="18" t="s">
        <v>47</v>
      </c>
      <c r="H27" s="18" t="s">
        <v>48</v>
      </c>
      <c r="I27" s="18" t="s">
        <v>49</v>
      </c>
      <c r="J27" s="18" t="s">
        <v>50</v>
      </c>
      <c r="K27" s="18" t="s">
        <v>51</v>
      </c>
      <c r="L27" s="18" t="s">
        <v>52</v>
      </c>
      <c r="M27" s="18" t="s">
        <v>144</v>
      </c>
      <c r="O27" s="20">
        <v>54</v>
      </c>
    </row>
    <row r="28" spans="1:15" ht="15" thickBot="1" x14ac:dyDescent="0.35">
      <c r="A28" s="18" t="s">
        <v>114</v>
      </c>
      <c r="E28" s="18" t="s">
        <v>127</v>
      </c>
      <c r="F28" s="18" t="s">
        <v>145</v>
      </c>
      <c r="G28" s="18" t="s">
        <v>146</v>
      </c>
      <c r="H28" s="18" t="s">
        <v>147</v>
      </c>
      <c r="I28" s="18" t="s">
        <v>148</v>
      </c>
      <c r="J28" s="18" t="s">
        <v>149</v>
      </c>
      <c r="K28" s="18" t="s">
        <v>150</v>
      </c>
      <c r="L28" s="18" t="s">
        <v>151</v>
      </c>
      <c r="O28" s="20">
        <v>56</v>
      </c>
    </row>
    <row r="29" spans="1:15" ht="15" thickBot="1" x14ac:dyDescent="0.35">
      <c r="A29" s="18" t="s">
        <v>152</v>
      </c>
      <c r="E29" s="18" t="s">
        <v>45</v>
      </c>
      <c r="F29" s="18" t="s">
        <v>46</v>
      </c>
      <c r="G29" s="18" t="s">
        <v>47</v>
      </c>
      <c r="H29" s="18" t="s">
        <v>48</v>
      </c>
      <c r="I29" s="18" t="s">
        <v>49</v>
      </c>
      <c r="J29" s="18" t="s">
        <v>50</v>
      </c>
      <c r="K29" s="18" t="s">
        <v>51</v>
      </c>
      <c r="L29" s="18" t="s">
        <v>52</v>
      </c>
      <c r="M29" s="18" t="s">
        <v>144</v>
      </c>
      <c r="O29" s="20">
        <v>64</v>
      </c>
    </row>
    <row r="30" spans="1:15" ht="15" thickBot="1" x14ac:dyDescent="0.35">
      <c r="A30" s="18" t="s">
        <v>114</v>
      </c>
      <c r="E30" s="18" t="s">
        <v>153</v>
      </c>
      <c r="F30" s="18" t="s">
        <v>154</v>
      </c>
      <c r="G30" s="18" t="s">
        <v>155</v>
      </c>
      <c r="H30" s="18" t="s">
        <v>156</v>
      </c>
      <c r="I30" s="18" t="s">
        <v>148</v>
      </c>
      <c r="J30" s="18" t="s">
        <v>149</v>
      </c>
      <c r="K30" s="18" t="s">
        <v>157</v>
      </c>
      <c r="L30" s="18" t="s">
        <v>158</v>
      </c>
      <c r="O30" s="20">
        <v>65</v>
      </c>
    </row>
    <row r="31" spans="1:15" x14ac:dyDescent="0.3">
      <c r="A31" s="18" t="s">
        <v>159</v>
      </c>
      <c r="E31" s="18" t="s">
        <v>45</v>
      </c>
      <c r="F31" s="18" t="s">
        <v>46</v>
      </c>
      <c r="G31" s="18" t="s">
        <v>47</v>
      </c>
      <c r="H31" s="18" t="s">
        <v>48</v>
      </c>
      <c r="I31" s="18" t="s">
        <v>49</v>
      </c>
      <c r="J31" s="18" t="s">
        <v>50</v>
      </c>
      <c r="K31" s="18" t="s">
        <v>51</v>
      </c>
      <c r="L31" s="18" t="s">
        <v>52</v>
      </c>
      <c r="M31" s="18" t="s">
        <v>113</v>
      </c>
      <c r="O31" s="21">
        <v>70</v>
      </c>
    </row>
    <row r="32" spans="1:15" x14ac:dyDescent="0.3">
      <c r="A32" s="18" t="s">
        <v>114</v>
      </c>
      <c r="E32" s="18" t="s">
        <v>160</v>
      </c>
      <c r="F32" s="18" t="s">
        <v>161</v>
      </c>
      <c r="G32" s="18" t="s">
        <v>162</v>
      </c>
      <c r="H32" s="18" t="s">
        <v>163</v>
      </c>
      <c r="I32" s="18" t="s">
        <v>164</v>
      </c>
      <c r="J32" s="18" t="s">
        <v>149</v>
      </c>
      <c r="K32" s="18" t="s">
        <v>165</v>
      </c>
      <c r="L32" s="18" t="s">
        <v>166</v>
      </c>
    </row>
    <row r="33" spans="1:15" x14ac:dyDescent="0.3">
      <c r="A33" s="18" t="s">
        <v>167</v>
      </c>
      <c r="E33" s="18" t="s">
        <v>45</v>
      </c>
      <c r="F33" s="18" t="s">
        <v>46</v>
      </c>
      <c r="G33" s="18" t="s">
        <v>47</v>
      </c>
      <c r="H33" s="18" t="s">
        <v>48</v>
      </c>
      <c r="I33" s="18" t="s">
        <v>49</v>
      </c>
      <c r="J33" s="18" t="s">
        <v>50</v>
      </c>
      <c r="K33" s="18" t="s">
        <v>51</v>
      </c>
      <c r="L33" s="18" t="s">
        <v>52</v>
      </c>
      <c r="M33" s="18" t="s">
        <v>168</v>
      </c>
    </row>
    <row r="34" spans="1:15" x14ac:dyDescent="0.3">
      <c r="A34" s="18" t="s">
        <v>114</v>
      </c>
      <c r="E34" s="18" t="s">
        <v>169</v>
      </c>
      <c r="F34" s="18" t="s">
        <v>170</v>
      </c>
      <c r="G34" s="18" t="s">
        <v>171</v>
      </c>
      <c r="H34" s="18" t="s">
        <v>125</v>
      </c>
      <c r="I34" s="18" t="s">
        <v>164</v>
      </c>
      <c r="J34" s="18" t="s">
        <v>149</v>
      </c>
      <c r="K34" s="18" t="s">
        <v>172</v>
      </c>
      <c r="L34" s="18" t="s">
        <v>173</v>
      </c>
      <c r="O34" s="18" t="s">
        <v>276</v>
      </c>
    </row>
    <row r="35" spans="1:15" x14ac:dyDescent="0.3">
      <c r="A35" s="18" t="s">
        <v>174</v>
      </c>
      <c r="B35" s="22"/>
      <c r="C35" s="22"/>
      <c r="D35" s="22"/>
      <c r="E35" s="18" t="s">
        <v>45</v>
      </c>
      <c r="F35" s="18" t="s">
        <v>46</v>
      </c>
      <c r="G35" s="18" t="s">
        <v>47</v>
      </c>
      <c r="H35" s="18" t="s">
        <v>48</v>
      </c>
      <c r="I35" s="18" t="s">
        <v>49</v>
      </c>
      <c r="J35" s="18" t="s">
        <v>50</v>
      </c>
      <c r="K35" s="18" t="s">
        <v>51</v>
      </c>
      <c r="L35" s="18" t="s">
        <v>52</v>
      </c>
    </row>
    <row r="36" spans="1:15" x14ac:dyDescent="0.3">
      <c r="A36" s="18" t="s">
        <v>117</v>
      </c>
      <c r="E36" s="18" t="s">
        <v>175</v>
      </c>
      <c r="F36" s="18" t="s">
        <v>66</v>
      </c>
      <c r="G36" s="18" t="s">
        <v>175</v>
      </c>
      <c r="H36" s="18" t="s">
        <v>56</v>
      </c>
      <c r="I36" s="18" t="s">
        <v>58</v>
      </c>
      <c r="J36" s="18" t="s">
        <v>175</v>
      </c>
      <c r="K36" s="18" t="s">
        <v>55</v>
      </c>
    </row>
    <row r="37" spans="1:15" x14ac:dyDescent="0.3">
      <c r="A37" s="18" t="s">
        <v>176</v>
      </c>
      <c r="E37" s="18" t="s">
        <v>45</v>
      </c>
      <c r="F37" s="18" t="s">
        <v>46</v>
      </c>
      <c r="G37" s="18" t="s">
        <v>47</v>
      </c>
      <c r="H37" s="18" t="s">
        <v>48</v>
      </c>
      <c r="I37" s="18" t="s">
        <v>49</v>
      </c>
      <c r="J37" s="18" t="s">
        <v>50</v>
      </c>
      <c r="K37" s="18" t="s">
        <v>51</v>
      </c>
      <c r="L37" s="18" t="s">
        <v>52</v>
      </c>
      <c r="M37" s="18" t="s">
        <v>177</v>
      </c>
    </row>
    <row r="38" spans="1:15" x14ac:dyDescent="0.3">
      <c r="A38" s="18" t="s">
        <v>178</v>
      </c>
      <c r="E38" s="18" t="s">
        <v>66</v>
      </c>
      <c r="F38" s="18" t="s">
        <v>57</v>
      </c>
      <c r="G38" s="18" t="s">
        <v>77</v>
      </c>
      <c r="H38" s="18" t="s">
        <v>66</v>
      </c>
      <c r="I38" s="18" t="s">
        <v>71</v>
      </c>
      <c r="J38" s="18" t="s">
        <v>59</v>
      </c>
      <c r="K38" s="18" t="s">
        <v>179</v>
      </c>
    </row>
    <row r="39" spans="1:15" x14ac:dyDescent="0.3">
      <c r="A39" s="18" t="s">
        <v>180</v>
      </c>
      <c r="E39" s="18" t="s">
        <v>45</v>
      </c>
      <c r="F39" s="18" t="s">
        <v>46</v>
      </c>
      <c r="G39" s="18" t="s">
        <v>47</v>
      </c>
      <c r="H39" s="18" t="s">
        <v>48</v>
      </c>
      <c r="I39" s="18" t="s">
        <v>49</v>
      </c>
      <c r="J39" s="18" t="s">
        <v>50</v>
      </c>
      <c r="K39" s="18" t="s">
        <v>51</v>
      </c>
      <c r="L39" s="18" t="s">
        <v>52</v>
      </c>
      <c r="M39" s="18" t="s">
        <v>181</v>
      </c>
    </row>
    <row r="40" spans="1:15" x14ac:dyDescent="0.3">
      <c r="A40" s="18" t="s">
        <v>114</v>
      </c>
      <c r="E40" s="18" t="s">
        <v>55</v>
      </c>
      <c r="F40" s="18" t="s">
        <v>71</v>
      </c>
      <c r="G40" s="18" t="s">
        <v>63</v>
      </c>
      <c r="H40" s="18" t="s">
        <v>175</v>
      </c>
      <c r="I40" s="18" t="s">
        <v>59</v>
      </c>
      <c r="J40" s="18" t="s">
        <v>59</v>
      </c>
      <c r="K40" s="18" t="s">
        <v>179</v>
      </c>
      <c r="L40" s="18" t="s">
        <v>182</v>
      </c>
    </row>
    <row r="41" spans="1:15" x14ac:dyDescent="0.3">
      <c r="A41" s="18" t="s">
        <v>183</v>
      </c>
      <c r="E41" s="18" t="s">
        <v>45</v>
      </c>
      <c r="F41" s="18" t="s">
        <v>46</v>
      </c>
      <c r="G41" s="18" t="s">
        <v>47</v>
      </c>
      <c r="H41" s="18" t="s">
        <v>48</v>
      </c>
      <c r="I41" s="18" t="s">
        <v>49</v>
      </c>
      <c r="J41" s="18" t="s">
        <v>50</v>
      </c>
      <c r="K41" s="18" t="s">
        <v>51</v>
      </c>
      <c r="L41" s="18" t="s">
        <v>52</v>
      </c>
      <c r="M41" s="18" t="s">
        <v>61</v>
      </c>
    </row>
    <row r="42" spans="1:15" x14ac:dyDescent="0.3">
      <c r="A42" s="18" t="s">
        <v>184</v>
      </c>
      <c r="E42" s="18" t="s">
        <v>57</v>
      </c>
      <c r="F42" s="18" t="s">
        <v>64</v>
      </c>
      <c r="G42" s="18" t="s">
        <v>175</v>
      </c>
      <c r="H42" s="18" t="s">
        <v>55</v>
      </c>
      <c r="I42" s="18" t="s">
        <v>58</v>
      </c>
      <c r="J42" s="18" t="s">
        <v>175</v>
      </c>
      <c r="K42" s="18" t="s">
        <v>179</v>
      </c>
    </row>
    <row r="43" spans="1:15" x14ac:dyDescent="0.3">
      <c r="A43" s="18" t="s">
        <v>185</v>
      </c>
      <c r="E43" s="18" t="s">
        <v>45</v>
      </c>
      <c r="F43" s="18" t="s">
        <v>46</v>
      </c>
      <c r="G43" s="18" t="s">
        <v>47</v>
      </c>
      <c r="H43" s="18" t="s">
        <v>48</v>
      </c>
      <c r="I43" s="18" t="s">
        <v>49</v>
      </c>
      <c r="J43" s="18" t="s">
        <v>50</v>
      </c>
      <c r="K43" s="18" t="s">
        <v>51</v>
      </c>
      <c r="L43" s="18" t="s">
        <v>52</v>
      </c>
      <c r="M43" s="18" t="s">
        <v>177</v>
      </c>
    </row>
    <row r="44" spans="1:15" x14ac:dyDescent="0.3">
      <c r="A44" s="18" t="s">
        <v>94</v>
      </c>
      <c r="E44" s="18" t="s">
        <v>175</v>
      </c>
      <c r="F44" s="18" t="s">
        <v>66</v>
      </c>
      <c r="G44" s="18" t="s">
        <v>175</v>
      </c>
      <c r="H44" s="18" t="s">
        <v>56</v>
      </c>
      <c r="I44" s="18" t="s">
        <v>58</v>
      </c>
      <c r="J44" s="18" t="s">
        <v>175</v>
      </c>
      <c r="K44" s="18" t="s">
        <v>179</v>
      </c>
    </row>
    <row r="45" spans="1:15" x14ac:dyDescent="0.3">
      <c r="A45" s="18" t="s">
        <v>186</v>
      </c>
      <c r="E45" s="18" t="s">
        <v>45</v>
      </c>
      <c r="F45" s="18" t="s">
        <v>46</v>
      </c>
      <c r="G45" s="18" t="s">
        <v>47</v>
      </c>
      <c r="H45" s="18" t="s">
        <v>48</v>
      </c>
      <c r="I45" s="18" t="s">
        <v>49</v>
      </c>
      <c r="J45" s="18" t="s">
        <v>50</v>
      </c>
      <c r="K45" s="18" t="s">
        <v>51</v>
      </c>
      <c r="L45" s="18" t="s">
        <v>52</v>
      </c>
    </row>
    <row r="46" spans="1:15" x14ac:dyDescent="0.3">
      <c r="A46" s="18" t="s">
        <v>187</v>
      </c>
      <c r="E46" s="18" t="s">
        <v>55</v>
      </c>
      <c r="F46" s="18" t="s">
        <v>66</v>
      </c>
      <c r="G46" s="18" t="s">
        <v>57</v>
      </c>
      <c r="H46" s="18" t="s">
        <v>65</v>
      </c>
      <c r="I46" s="18" t="s">
        <v>55</v>
      </c>
      <c r="J46" s="18" t="s">
        <v>72</v>
      </c>
      <c r="K46" s="18" t="s">
        <v>55</v>
      </c>
      <c r="L46" s="18" t="s">
        <v>58</v>
      </c>
    </row>
    <row r="47" spans="1:15" x14ac:dyDescent="0.3">
      <c r="A47" s="18" t="s">
        <v>188</v>
      </c>
      <c r="E47" s="18" t="s">
        <v>45</v>
      </c>
      <c r="F47" s="18" t="s">
        <v>46</v>
      </c>
      <c r="G47" s="18" t="s">
        <v>47</v>
      </c>
      <c r="H47" s="18" t="s">
        <v>48</v>
      </c>
      <c r="I47" s="18" t="s">
        <v>49</v>
      </c>
      <c r="J47" s="18" t="s">
        <v>50</v>
      </c>
      <c r="K47" s="18" t="s">
        <v>51</v>
      </c>
      <c r="L47" s="18" t="s">
        <v>52</v>
      </c>
      <c r="M47" s="18" t="s">
        <v>61</v>
      </c>
    </row>
    <row r="48" spans="1:15" x14ac:dyDescent="0.3">
      <c r="A48" s="18" t="s">
        <v>94</v>
      </c>
      <c r="E48" s="18" t="s">
        <v>56</v>
      </c>
      <c r="F48" s="18" t="s">
        <v>56</v>
      </c>
      <c r="G48" s="18" t="s">
        <v>71</v>
      </c>
      <c r="H48" s="18" t="s">
        <v>58</v>
      </c>
      <c r="I48" s="18" t="s">
        <v>59</v>
      </c>
      <c r="J48" s="18" t="s">
        <v>59</v>
      </c>
      <c r="K48" s="18" t="s">
        <v>179</v>
      </c>
    </row>
    <row r="49" spans="1:13" x14ac:dyDescent="0.3">
      <c r="A49" s="18" t="s">
        <v>189</v>
      </c>
      <c r="E49" s="18" t="s">
        <v>45</v>
      </c>
      <c r="F49" s="18" t="s">
        <v>46</v>
      </c>
      <c r="G49" s="18" t="s">
        <v>47</v>
      </c>
      <c r="H49" s="18" t="s">
        <v>48</v>
      </c>
      <c r="I49" s="18" t="s">
        <v>49</v>
      </c>
      <c r="J49" s="18" t="s">
        <v>50</v>
      </c>
      <c r="K49" s="18" t="s">
        <v>51</v>
      </c>
      <c r="L49" s="18" t="s">
        <v>52</v>
      </c>
      <c r="M49" s="18" t="s">
        <v>177</v>
      </c>
    </row>
    <row r="50" spans="1:13" x14ac:dyDescent="0.3">
      <c r="A50" s="18" t="s">
        <v>94</v>
      </c>
      <c r="E50" s="18" t="s">
        <v>55</v>
      </c>
      <c r="F50" s="18" t="s">
        <v>66</v>
      </c>
      <c r="G50" s="18" t="s">
        <v>66</v>
      </c>
      <c r="H50" s="18" t="s">
        <v>65</v>
      </c>
      <c r="I50" s="18" t="s">
        <v>55</v>
      </c>
      <c r="J50" s="18" t="s">
        <v>175</v>
      </c>
      <c r="K50" s="18" t="s">
        <v>179</v>
      </c>
      <c r="L50" s="18" t="s">
        <v>58</v>
      </c>
    </row>
    <row r="51" spans="1:13" x14ac:dyDescent="0.3">
      <c r="A51" s="18" t="s">
        <v>190</v>
      </c>
      <c r="E51" s="18" t="s">
        <v>45</v>
      </c>
      <c r="F51" s="18" t="s">
        <v>46</v>
      </c>
      <c r="G51" s="18" t="s">
        <v>47</v>
      </c>
      <c r="H51" s="18" t="s">
        <v>48</v>
      </c>
      <c r="I51" s="18" t="s">
        <v>49</v>
      </c>
      <c r="J51" s="18" t="s">
        <v>50</v>
      </c>
      <c r="K51" s="18" t="s">
        <v>51</v>
      </c>
      <c r="L51" s="18" t="s">
        <v>52</v>
      </c>
      <c r="M51" s="18" t="s">
        <v>61</v>
      </c>
    </row>
    <row r="52" spans="1:13" x14ac:dyDescent="0.3">
      <c r="A52" s="18" t="s">
        <v>94</v>
      </c>
      <c r="E52" s="18" t="s">
        <v>56</v>
      </c>
      <c r="F52" s="18" t="s">
        <v>56</v>
      </c>
      <c r="G52" s="18" t="s">
        <v>71</v>
      </c>
      <c r="H52" s="18" t="s">
        <v>58</v>
      </c>
      <c r="I52" s="18" t="s">
        <v>191</v>
      </c>
      <c r="J52" s="18" t="s">
        <v>59</v>
      </c>
      <c r="K52" s="18" t="s">
        <v>179</v>
      </c>
    </row>
    <row r="53" spans="1:13" x14ac:dyDescent="0.3">
      <c r="A53" s="18" t="s">
        <v>192</v>
      </c>
      <c r="E53" s="18" t="s">
        <v>45</v>
      </c>
      <c r="F53" s="18" t="s">
        <v>46</v>
      </c>
      <c r="G53" s="18" t="s">
        <v>47</v>
      </c>
      <c r="H53" s="18" t="s">
        <v>48</v>
      </c>
      <c r="I53" s="18" t="s">
        <v>49</v>
      </c>
      <c r="J53" s="18" t="s">
        <v>50</v>
      </c>
      <c r="K53" s="18" t="s">
        <v>51</v>
      </c>
      <c r="L53" s="18" t="s">
        <v>52</v>
      </c>
    </row>
    <row r="54" spans="1:13" x14ac:dyDescent="0.3">
      <c r="A54" s="18" t="s">
        <v>193</v>
      </c>
      <c r="E54" s="18" t="s">
        <v>66</v>
      </c>
      <c r="F54" s="18" t="s">
        <v>65</v>
      </c>
      <c r="G54" s="18" t="s">
        <v>55</v>
      </c>
      <c r="H54" s="18" t="s">
        <v>59</v>
      </c>
      <c r="I54" s="18" t="s">
        <v>54</v>
      </c>
      <c r="J54" s="18" t="s">
        <v>58</v>
      </c>
      <c r="K54" s="18" t="s">
        <v>55</v>
      </c>
    </row>
    <row r="55" spans="1:13" x14ac:dyDescent="0.3">
      <c r="A55" s="18" t="s">
        <v>194</v>
      </c>
      <c r="E55" s="18" t="s">
        <v>45</v>
      </c>
      <c r="F55" s="18" t="s">
        <v>46</v>
      </c>
      <c r="G55" s="18" t="s">
        <v>47</v>
      </c>
      <c r="H55" s="18" t="s">
        <v>48</v>
      </c>
      <c r="I55" s="18" t="s">
        <v>49</v>
      </c>
      <c r="J55" s="18" t="s">
        <v>50</v>
      </c>
      <c r="K55" s="18" t="s">
        <v>51</v>
      </c>
      <c r="L55" s="18" t="s">
        <v>52</v>
      </c>
      <c r="M55" s="18" t="s">
        <v>61</v>
      </c>
    </row>
    <row r="56" spans="1:13" x14ac:dyDescent="0.3">
      <c r="A56" s="18" t="s">
        <v>94</v>
      </c>
      <c r="E56" s="18" t="s">
        <v>71</v>
      </c>
      <c r="F56" s="18" t="s">
        <v>56</v>
      </c>
      <c r="G56" s="18" t="s">
        <v>58</v>
      </c>
      <c r="H56" s="18" t="s">
        <v>55</v>
      </c>
      <c r="I56" s="18" t="s">
        <v>66</v>
      </c>
      <c r="J56" s="18" t="s">
        <v>55</v>
      </c>
      <c r="K56" s="18" t="s">
        <v>179</v>
      </c>
    </row>
    <row r="57" spans="1:13" x14ac:dyDescent="0.3">
      <c r="A57" s="18" t="s">
        <v>195</v>
      </c>
      <c r="E57" s="18" t="s">
        <v>45</v>
      </c>
      <c r="F57" s="18" t="s">
        <v>46</v>
      </c>
      <c r="G57" s="18" t="s">
        <v>47</v>
      </c>
      <c r="H57" s="18" t="s">
        <v>48</v>
      </c>
      <c r="I57" s="18" t="s">
        <v>49</v>
      </c>
      <c r="J57" s="18" t="s">
        <v>50</v>
      </c>
      <c r="K57" s="18" t="s">
        <v>51</v>
      </c>
      <c r="L57" s="18" t="s">
        <v>52</v>
      </c>
      <c r="M57" s="18" t="s">
        <v>196</v>
      </c>
    </row>
    <row r="58" spans="1:13" x14ac:dyDescent="0.3">
      <c r="A58" s="18" t="s">
        <v>197</v>
      </c>
      <c r="E58" s="18" t="s">
        <v>59</v>
      </c>
      <c r="F58" s="18" t="s">
        <v>71</v>
      </c>
      <c r="G58" s="18" t="s">
        <v>66</v>
      </c>
      <c r="H58" s="18" t="s">
        <v>71</v>
      </c>
      <c r="I58" s="18" t="s">
        <v>58</v>
      </c>
      <c r="J58" s="18" t="s">
        <v>57</v>
      </c>
      <c r="K58" s="18" t="s">
        <v>179</v>
      </c>
    </row>
    <row r="59" spans="1:13" x14ac:dyDescent="0.3">
      <c r="A59" s="18" t="s">
        <v>198</v>
      </c>
      <c r="E59" s="18" t="s">
        <v>45</v>
      </c>
      <c r="F59" s="18" t="s">
        <v>46</v>
      </c>
      <c r="G59" s="18" t="s">
        <v>47</v>
      </c>
      <c r="H59" s="18" t="s">
        <v>48</v>
      </c>
      <c r="I59" s="18" t="s">
        <v>49</v>
      </c>
      <c r="J59" s="18" t="s">
        <v>50</v>
      </c>
      <c r="K59" s="18" t="s">
        <v>51</v>
      </c>
      <c r="L59" s="18" t="s">
        <v>52</v>
      </c>
    </row>
    <row r="60" spans="1:13" x14ac:dyDescent="0.3">
      <c r="A60" s="18" t="s">
        <v>53</v>
      </c>
      <c r="E60" s="18" t="s">
        <v>71</v>
      </c>
      <c r="F60" s="18" t="s">
        <v>66</v>
      </c>
      <c r="G60" s="18" t="s">
        <v>56</v>
      </c>
      <c r="H60" s="18" t="s">
        <v>57</v>
      </c>
      <c r="I60" s="18" t="s">
        <v>55</v>
      </c>
      <c r="J60" s="18" t="s">
        <v>59</v>
      </c>
      <c r="K60" s="18" t="s">
        <v>55</v>
      </c>
    </row>
    <row r="61" spans="1:13" x14ac:dyDescent="0.3">
      <c r="A61" s="18" t="s">
        <v>199</v>
      </c>
      <c r="E61" s="18" t="s">
        <v>45</v>
      </c>
      <c r="F61" s="18" t="s">
        <v>46</v>
      </c>
      <c r="G61" s="18" t="s">
        <v>47</v>
      </c>
      <c r="H61" s="18" t="s">
        <v>48</v>
      </c>
      <c r="I61" s="18" t="s">
        <v>49</v>
      </c>
      <c r="J61" s="18" t="s">
        <v>50</v>
      </c>
      <c r="K61" s="18" t="s">
        <v>51</v>
      </c>
      <c r="L61" s="18" t="s">
        <v>52</v>
      </c>
      <c r="M61" s="18" t="s">
        <v>177</v>
      </c>
    </row>
    <row r="62" spans="1:13" x14ac:dyDescent="0.3">
      <c r="A62" s="18" t="s">
        <v>94</v>
      </c>
      <c r="E62" s="18" t="s">
        <v>55</v>
      </c>
      <c r="F62" s="18" t="s">
        <v>65</v>
      </c>
      <c r="G62" s="18" t="s">
        <v>65</v>
      </c>
      <c r="H62" s="18" t="s">
        <v>71</v>
      </c>
      <c r="I62" s="18" t="s">
        <v>55</v>
      </c>
      <c r="J62" s="18" t="s">
        <v>59</v>
      </c>
      <c r="K62" s="18" t="s">
        <v>179</v>
      </c>
      <c r="L62" s="18" t="s">
        <v>58</v>
      </c>
    </row>
    <row r="63" spans="1:13" x14ac:dyDescent="0.3">
      <c r="A63" s="18" t="s">
        <v>200</v>
      </c>
      <c r="E63" s="18" t="s">
        <v>45</v>
      </c>
      <c r="F63" s="18" t="s">
        <v>46</v>
      </c>
      <c r="G63" s="18" t="s">
        <v>47</v>
      </c>
      <c r="H63" s="18" t="s">
        <v>48</v>
      </c>
      <c r="I63" s="18" t="s">
        <v>49</v>
      </c>
      <c r="J63" s="18" t="s">
        <v>50</v>
      </c>
      <c r="K63" s="18" t="s">
        <v>51</v>
      </c>
      <c r="L63" s="18" t="s">
        <v>52</v>
      </c>
      <c r="M63" s="18" t="s">
        <v>86</v>
      </c>
    </row>
    <row r="64" spans="1:13" x14ac:dyDescent="0.3">
      <c r="A64" s="18" t="s">
        <v>94</v>
      </c>
      <c r="E64" s="18" t="s">
        <v>71</v>
      </c>
      <c r="F64" s="18" t="s">
        <v>56</v>
      </c>
      <c r="G64" s="18" t="s">
        <v>55</v>
      </c>
      <c r="H64" s="18" t="s">
        <v>55</v>
      </c>
      <c r="I64" s="18" t="s">
        <v>66</v>
      </c>
      <c r="J64" s="18" t="s">
        <v>58</v>
      </c>
      <c r="K64" s="18" t="s">
        <v>179</v>
      </c>
    </row>
    <row r="65" spans="1:13" x14ac:dyDescent="0.3">
      <c r="A65" s="18" t="s">
        <v>201</v>
      </c>
      <c r="E65" s="18" t="s">
        <v>45</v>
      </c>
      <c r="F65" s="18" t="s">
        <v>46</v>
      </c>
      <c r="G65" s="18" t="s">
        <v>47</v>
      </c>
      <c r="H65" s="18" t="s">
        <v>48</v>
      </c>
      <c r="I65" s="18" t="s">
        <v>49</v>
      </c>
      <c r="J65" s="18" t="s">
        <v>50</v>
      </c>
      <c r="K65" s="18" t="s">
        <v>51</v>
      </c>
      <c r="L65" s="18" t="s">
        <v>52</v>
      </c>
    </row>
    <row r="66" spans="1:13" x14ac:dyDescent="0.3">
      <c r="A66" s="18" t="s">
        <v>202</v>
      </c>
      <c r="E66" s="18" t="s">
        <v>71</v>
      </c>
      <c r="F66" s="18" t="s">
        <v>66</v>
      </c>
      <c r="G66" s="18" t="s">
        <v>56</v>
      </c>
      <c r="H66" s="18" t="s">
        <v>57</v>
      </c>
      <c r="I66" s="18" t="s">
        <v>55</v>
      </c>
      <c r="J66" s="18" t="s">
        <v>59</v>
      </c>
      <c r="K66" s="18" t="s">
        <v>55</v>
      </c>
    </row>
    <row r="67" spans="1:13" x14ac:dyDescent="0.3">
      <c r="A67" s="18" t="s">
        <v>203</v>
      </c>
      <c r="E67" s="18" t="s">
        <v>45</v>
      </c>
      <c r="F67" s="18" t="s">
        <v>46</v>
      </c>
      <c r="G67" s="18" t="s">
        <v>47</v>
      </c>
      <c r="H67" s="18" t="s">
        <v>48</v>
      </c>
      <c r="I67" s="18" t="s">
        <v>49</v>
      </c>
      <c r="J67" s="18" t="s">
        <v>50</v>
      </c>
      <c r="K67" s="18" t="s">
        <v>51</v>
      </c>
      <c r="L67" s="18" t="s">
        <v>52</v>
      </c>
      <c r="M67" s="18" t="s">
        <v>61</v>
      </c>
    </row>
    <row r="68" spans="1:13" x14ac:dyDescent="0.3">
      <c r="A68" s="18" t="s">
        <v>94</v>
      </c>
      <c r="E68" s="18" t="s">
        <v>58</v>
      </c>
      <c r="F68" s="18" t="s">
        <v>65</v>
      </c>
      <c r="G68" s="18" t="s">
        <v>57</v>
      </c>
      <c r="H68" s="18" t="s">
        <v>65</v>
      </c>
      <c r="I68" s="18" t="s">
        <v>58</v>
      </c>
      <c r="J68" s="18" t="s">
        <v>58</v>
      </c>
      <c r="K68" s="18" t="s">
        <v>179</v>
      </c>
    </row>
    <row r="69" spans="1:13" x14ac:dyDescent="0.3">
      <c r="A69" s="18" t="s">
        <v>204</v>
      </c>
      <c r="E69" s="18" t="s">
        <v>45</v>
      </c>
      <c r="F69" s="18" t="s">
        <v>46</v>
      </c>
      <c r="G69" s="18" t="s">
        <v>47</v>
      </c>
      <c r="H69" s="18" t="s">
        <v>48</v>
      </c>
      <c r="I69" s="18" t="s">
        <v>49</v>
      </c>
      <c r="J69" s="18" t="s">
        <v>50</v>
      </c>
      <c r="K69" s="18" t="s">
        <v>51</v>
      </c>
      <c r="L69" s="18" t="s">
        <v>52</v>
      </c>
      <c r="M69" s="18" t="s">
        <v>196</v>
      </c>
    </row>
    <row r="70" spans="1:13" x14ac:dyDescent="0.3">
      <c r="A70" s="18" t="s">
        <v>94</v>
      </c>
      <c r="E70" s="18" t="s">
        <v>59</v>
      </c>
      <c r="F70" s="18" t="s">
        <v>56</v>
      </c>
      <c r="G70" s="18" t="s">
        <v>54</v>
      </c>
      <c r="H70" s="18" t="s">
        <v>66</v>
      </c>
      <c r="I70" s="18" t="s">
        <v>55</v>
      </c>
      <c r="J70" s="18" t="s">
        <v>205</v>
      </c>
      <c r="K70" s="18" t="s">
        <v>179</v>
      </c>
    </row>
    <row r="71" spans="1:13" x14ac:dyDescent="0.3">
      <c r="A71" s="18" t="s">
        <v>206</v>
      </c>
      <c r="E71" s="18" t="s">
        <v>45</v>
      </c>
      <c r="F71" s="18" t="s">
        <v>46</v>
      </c>
      <c r="G71" s="18" t="s">
        <v>47</v>
      </c>
      <c r="H71" s="18" t="s">
        <v>48</v>
      </c>
      <c r="I71" s="18" t="s">
        <v>49</v>
      </c>
      <c r="J71" s="18" t="s">
        <v>50</v>
      </c>
      <c r="K71" s="18" t="s">
        <v>51</v>
      </c>
      <c r="L71" s="18" t="s">
        <v>52</v>
      </c>
      <c r="M71" s="18" t="s">
        <v>196</v>
      </c>
    </row>
    <row r="72" spans="1:13" x14ac:dyDescent="0.3">
      <c r="A72" s="18" t="s">
        <v>207</v>
      </c>
      <c r="E72" s="18" t="s">
        <v>83</v>
      </c>
      <c r="F72" s="18" t="s">
        <v>66</v>
      </c>
      <c r="G72" s="18" t="s">
        <v>175</v>
      </c>
      <c r="H72" s="18" t="s">
        <v>58</v>
      </c>
      <c r="I72" s="18" t="s">
        <v>55</v>
      </c>
      <c r="J72" s="18" t="s">
        <v>58</v>
      </c>
      <c r="K72" s="18" t="s">
        <v>179</v>
      </c>
    </row>
    <row r="73" spans="1:13" x14ac:dyDescent="0.3">
      <c r="A73" s="18" t="s">
        <v>208</v>
      </c>
      <c r="E73" s="18" t="s">
        <v>45</v>
      </c>
      <c r="F73" s="18" t="s">
        <v>46</v>
      </c>
      <c r="G73" s="18" t="s">
        <v>47</v>
      </c>
      <c r="H73" s="18" t="s">
        <v>48</v>
      </c>
      <c r="I73" s="18" t="s">
        <v>49</v>
      </c>
      <c r="J73" s="18" t="s">
        <v>50</v>
      </c>
      <c r="K73" s="18" t="s">
        <v>51</v>
      </c>
      <c r="L73" s="18" t="s">
        <v>52</v>
      </c>
      <c r="M73" s="18" t="s">
        <v>61</v>
      </c>
    </row>
    <row r="74" spans="1:13" x14ac:dyDescent="0.3">
      <c r="A74" s="18" t="s">
        <v>62</v>
      </c>
      <c r="E74" s="18" t="s">
        <v>58</v>
      </c>
      <c r="F74" s="18" t="s">
        <v>65</v>
      </c>
      <c r="G74" s="18" t="s">
        <v>57</v>
      </c>
      <c r="H74" s="18" t="s">
        <v>65</v>
      </c>
      <c r="I74" s="18" t="s">
        <v>58</v>
      </c>
      <c r="J74" s="18" t="s">
        <v>58</v>
      </c>
      <c r="K74" s="18" t="s">
        <v>179</v>
      </c>
    </row>
    <row r="75" spans="1:13" x14ac:dyDescent="0.3">
      <c r="A75" s="18" t="s">
        <v>209</v>
      </c>
      <c r="E75" s="18" t="s">
        <v>45</v>
      </c>
      <c r="F75" s="18" t="s">
        <v>46</v>
      </c>
      <c r="G75" s="18" t="s">
        <v>47</v>
      </c>
      <c r="H75" s="18" t="s">
        <v>48</v>
      </c>
      <c r="I75" s="18" t="s">
        <v>49</v>
      </c>
      <c r="J75" s="18" t="s">
        <v>50</v>
      </c>
      <c r="K75" s="18" t="s">
        <v>51</v>
      </c>
      <c r="L75" s="18" t="s">
        <v>52</v>
      </c>
      <c r="M75" s="18" t="s">
        <v>196</v>
      </c>
    </row>
    <row r="76" spans="1:13" x14ac:dyDescent="0.3">
      <c r="A76" s="18" t="s">
        <v>197</v>
      </c>
      <c r="E76" s="18" t="s">
        <v>55</v>
      </c>
      <c r="F76" s="18" t="s">
        <v>71</v>
      </c>
      <c r="G76" s="18" t="s">
        <v>71</v>
      </c>
      <c r="H76" s="18" t="s">
        <v>57</v>
      </c>
      <c r="I76" s="18" t="s">
        <v>71</v>
      </c>
      <c r="J76" s="18" t="s">
        <v>55</v>
      </c>
      <c r="K76" s="18" t="s">
        <v>179</v>
      </c>
    </row>
    <row r="77" spans="1:13" x14ac:dyDescent="0.3">
      <c r="A77" s="18" t="s">
        <v>210</v>
      </c>
      <c r="E77" s="18" t="s">
        <v>45</v>
      </c>
      <c r="F77" s="18" t="s">
        <v>46</v>
      </c>
      <c r="G77" s="18" t="s">
        <v>47</v>
      </c>
      <c r="H77" s="18" t="s">
        <v>48</v>
      </c>
      <c r="I77" s="18" t="s">
        <v>49</v>
      </c>
      <c r="J77" s="18" t="s">
        <v>50</v>
      </c>
      <c r="K77" s="18" t="s">
        <v>51</v>
      </c>
      <c r="L77" s="18" t="s">
        <v>52</v>
      </c>
      <c r="M77" s="18" t="s">
        <v>177</v>
      </c>
    </row>
    <row r="78" spans="1:13" x14ac:dyDescent="0.3">
      <c r="A78" s="18" t="s">
        <v>94</v>
      </c>
      <c r="E78" s="18" t="s">
        <v>83</v>
      </c>
      <c r="F78" s="18" t="s">
        <v>66</v>
      </c>
      <c r="G78" s="18" t="s">
        <v>175</v>
      </c>
      <c r="H78" s="18" t="s">
        <v>58</v>
      </c>
      <c r="I78" s="18" t="s">
        <v>55</v>
      </c>
      <c r="J78" s="18" t="s">
        <v>58</v>
      </c>
      <c r="K78" s="18" t="s">
        <v>179</v>
      </c>
    </row>
    <row r="79" spans="1:13" x14ac:dyDescent="0.3">
      <c r="A79" s="18" t="s">
        <v>211</v>
      </c>
      <c r="E79" s="18" t="s">
        <v>45</v>
      </c>
      <c r="F79" s="18" t="s">
        <v>46</v>
      </c>
      <c r="G79" s="18" t="s">
        <v>47</v>
      </c>
      <c r="H79" s="18" t="s">
        <v>48</v>
      </c>
      <c r="I79" s="18" t="s">
        <v>49</v>
      </c>
      <c r="J79" s="18" t="s">
        <v>50</v>
      </c>
      <c r="K79" s="18" t="s">
        <v>51</v>
      </c>
      <c r="L79" s="18" t="s">
        <v>52</v>
      </c>
      <c r="M79" s="18" t="s">
        <v>61</v>
      </c>
    </row>
    <row r="80" spans="1:13" x14ac:dyDescent="0.3">
      <c r="A80" s="18" t="s">
        <v>94</v>
      </c>
      <c r="E80" s="18" t="s">
        <v>59</v>
      </c>
      <c r="F80" s="18" t="s">
        <v>64</v>
      </c>
      <c r="G80" s="18" t="s">
        <v>57</v>
      </c>
      <c r="H80" s="18" t="s">
        <v>55</v>
      </c>
      <c r="I80" s="18" t="s">
        <v>65</v>
      </c>
      <c r="J80" s="18" t="s">
        <v>58</v>
      </c>
      <c r="K80" s="18" t="s">
        <v>179</v>
      </c>
    </row>
    <row r="81" spans="1:13" x14ac:dyDescent="0.3">
      <c r="A81" s="18" t="s">
        <v>212</v>
      </c>
      <c r="E81" s="18" t="s">
        <v>45</v>
      </c>
      <c r="F81" s="18" t="s">
        <v>46</v>
      </c>
      <c r="G81" s="18" t="s">
        <v>47</v>
      </c>
      <c r="H81" s="18" t="s">
        <v>48</v>
      </c>
      <c r="I81" s="18" t="s">
        <v>49</v>
      </c>
      <c r="J81" s="18" t="s">
        <v>50</v>
      </c>
      <c r="K81" s="18" t="s">
        <v>51</v>
      </c>
      <c r="L81" s="18" t="s">
        <v>52</v>
      </c>
      <c r="M81" s="18" t="s">
        <v>196</v>
      </c>
    </row>
    <row r="82" spans="1:13" x14ac:dyDescent="0.3">
      <c r="A82" s="18" t="s">
        <v>94</v>
      </c>
      <c r="E82" s="18" t="s">
        <v>175</v>
      </c>
      <c r="F82" s="18" t="s">
        <v>66</v>
      </c>
      <c r="G82" s="18" t="s">
        <v>65</v>
      </c>
      <c r="H82" s="18" t="s">
        <v>71</v>
      </c>
      <c r="I82" s="18" t="s">
        <v>55</v>
      </c>
      <c r="J82" s="18" t="s">
        <v>58</v>
      </c>
      <c r="K82" s="18" t="s">
        <v>179</v>
      </c>
    </row>
    <row r="83" spans="1:13" x14ac:dyDescent="0.3">
      <c r="A83" s="18" t="s">
        <v>213</v>
      </c>
      <c r="E83" s="18" t="s">
        <v>45</v>
      </c>
      <c r="F83" s="18" t="s">
        <v>46</v>
      </c>
      <c r="G83" s="18" t="s">
        <v>47</v>
      </c>
      <c r="H83" s="18" t="s">
        <v>48</v>
      </c>
      <c r="I83" s="18" t="s">
        <v>49</v>
      </c>
      <c r="J83" s="18" t="s">
        <v>50</v>
      </c>
      <c r="K83" s="18" t="s">
        <v>51</v>
      </c>
      <c r="L83" s="18" t="s">
        <v>52</v>
      </c>
      <c r="M83" s="18" t="s">
        <v>177</v>
      </c>
    </row>
    <row r="84" spans="1:13" x14ac:dyDescent="0.3">
      <c r="A84" s="18" t="s">
        <v>197</v>
      </c>
      <c r="E84" s="18" t="s">
        <v>59</v>
      </c>
      <c r="F84" s="18" t="s">
        <v>64</v>
      </c>
      <c r="G84" s="18" t="s">
        <v>57</v>
      </c>
      <c r="H84" s="18" t="s">
        <v>55</v>
      </c>
      <c r="I84" s="18" t="s">
        <v>65</v>
      </c>
      <c r="J84" s="18" t="s">
        <v>58</v>
      </c>
      <c r="K84" s="18" t="s">
        <v>179</v>
      </c>
    </row>
    <row r="85" spans="1:13" x14ac:dyDescent="0.3">
      <c r="A85" s="18" t="s">
        <v>214</v>
      </c>
      <c r="E85" s="18" t="s">
        <v>45</v>
      </c>
      <c r="F85" s="18" t="s">
        <v>46</v>
      </c>
      <c r="G85" s="18" t="s">
        <v>47</v>
      </c>
      <c r="H85" s="18" t="s">
        <v>48</v>
      </c>
      <c r="I85" s="18" t="s">
        <v>49</v>
      </c>
      <c r="J85" s="18" t="s">
        <v>50</v>
      </c>
      <c r="K85" s="18" t="s">
        <v>51</v>
      </c>
      <c r="L85" s="18" t="s">
        <v>52</v>
      </c>
      <c r="M85" s="18" t="s">
        <v>177</v>
      </c>
    </row>
    <row r="86" spans="1:13" x14ac:dyDescent="0.3">
      <c r="A86" s="18" t="s">
        <v>215</v>
      </c>
      <c r="E86" s="18" t="s">
        <v>175</v>
      </c>
      <c r="F86" s="18" t="s">
        <v>66</v>
      </c>
      <c r="G86" s="18" t="s">
        <v>65</v>
      </c>
      <c r="H86" s="18" t="s">
        <v>66</v>
      </c>
      <c r="I86" s="18" t="s">
        <v>55</v>
      </c>
      <c r="J86" s="18" t="s">
        <v>179</v>
      </c>
      <c r="K86" s="18" t="s">
        <v>179</v>
      </c>
    </row>
    <row r="87" spans="1:13" x14ac:dyDescent="0.3">
      <c r="A87" s="18" t="s">
        <v>216</v>
      </c>
      <c r="E87" s="18" t="s">
        <v>45</v>
      </c>
      <c r="F87" s="18" t="s">
        <v>46</v>
      </c>
      <c r="G87" s="18" t="s">
        <v>47</v>
      </c>
      <c r="H87" s="18" t="s">
        <v>48</v>
      </c>
      <c r="I87" s="18" t="s">
        <v>49</v>
      </c>
      <c r="J87" s="18" t="s">
        <v>50</v>
      </c>
      <c r="K87" s="18" t="s">
        <v>51</v>
      </c>
      <c r="L87" s="18" t="s">
        <v>52</v>
      </c>
    </row>
    <row r="88" spans="1:13" x14ac:dyDescent="0.3">
      <c r="A88" s="18" t="s">
        <v>53</v>
      </c>
      <c r="E88" s="18" t="s">
        <v>56</v>
      </c>
      <c r="F88" s="18" t="s">
        <v>71</v>
      </c>
      <c r="G88" s="18" t="s">
        <v>57</v>
      </c>
      <c r="H88" s="18" t="s">
        <v>57</v>
      </c>
      <c r="I88" s="18" t="s">
        <v>55</v>
      </c>
      <c r="J88" s="18" t="s">
        <v>55</v>
      </c>
      <c r="K88" s="18" t="s">
        <v>55</v>
      </c>
    </row>
    <row r="89" spans="1:13" x14ac:dyDescent="0.3">
      <c r="A89" s="18" t="s">
        <v>217</v>
      </c>
      <c r="E89" s="18" t="s">
        <v>45</v>
      </c>
      <c r="F89" s="18" t="s">
        <v>46</v>
      </c>
      <c r="G89" s="18" t="s">
        <v>47</v>
      </c>
      <c r="H89" s="18" t="s">
        <v>48</v>
      </c>
      <c r="I89" s="18" t="s">
        <v>49</v>
      </c>
      <c r="J89" s="18" t="s">
        <v>50</v>
      </c>
      <c r="K89" s="18" t="s">
        <v>51</v>
      </c>
      <c r="L89" s="18" t="s">
        <v>52</v>
      </c>
      <c r="M89" s="18" t="s">
        <v>61</v>
      </c>
    </row>
    <row r="90" spans="1:13" x14ac:dyDescent="0.3">
      <c r="A90" s="18" t="s">
        <v>94</v>
      </c>
      <c r="E90" s="18" t="s">
        <v>63</v>
      </c>
      <c r="F90" s="18" t="s">
        <v>57</v>
      </c>
      <c r="G90" s="18" t="s">
        <v>175</v>
      </c>
      <c r="H90" s="18" t="s">
        <v>175</v>
      </c>
      <c r="I90" s="18" t="s">
        <v>58</v>
      </c>
      <c r="J90" s="18" t="s">
        <v>59</v>
      </c>
      <c r="K90" s="18" t="s">
        <v>179</v>
      </c>
    </row>
    <row r="91" spans="1:13" x14ac:dyDescent="0.3">
      <c r="A91" s="18" t="s">
        <v>218</v>
      </c>
      <c r="E91" s="18" t="s">
        <v>45</v>
      </c>
      <c r="F91" s="18" t="s">
        <v>46</v>
      </c>
      <c r="G91" s="18" t="s">
        <v>47</v>
      </c>
      <c r="H91" s="18" t="s">
        <v>48</v>
      </c>
      <c r="I91" s="18" t="s">
        <v>49</v>
      </c>
      <c r="J91" s="18" t="s">
        <v>50</v>
      </c>
      <c r="K91" s="18" t="s">
        <v>51</v>
      </c>
      <c r="L91" s="18" t="s">
        <v>52</v>
      </c>
      <c r="M91" s="18" t="s">
        <v>61</v>
      </c>
    </row>
    <row r="92" spans="1:13" x14ac:dyDescent="0.3">
      <c r="A92" s="18" t="s">
        <v>94</v>
      </c>
      <c r="E92" s="18" t="s">
        <v>58</v>
      </c>
      <c r="F92" s="18" t="s">
        <v>64</v>
      </c>
      <c r="G92" s="18" t="s">
        <v>71</v>
      </c>
      <c r="H92" s="18" t="s">
        <v>55</v>
      </c>
      <c r="I92" s="18" t="s">
        <v>58</v>
      </c>
      <c r="J92" s="18" t="s">
        <v>175</v>
      </c>
      <c r="K92" s="18" t="s">
        <v>179</v>
      </c>
    </row>
    <row r="93" spans="1:13" x14ac:dyDescent="0.3">
      <c r="A93" s="18" t="s">
        <v>219</v>
      </c>
      <c r="E93" s="18" t="s">
        <v>45</v>
      </c>
      <c r="F93" s="18" t="s">
        <v>46</v>
      </c>
      <c r="G93" s="18" t="s">
        <v>47</v>
      </c>
      <c r="H93" s="18" t="s">
        <v>48</v>
      </c>
      <c r="I93" s="18" t="s">
        <v>49</v>
      </c>
      <c r="J93" s="18" t="s">
        <v>50</v>
      </c>
      <c r="K93" s="18" t="s">
        <v>51</v>
      </c>
      <c r="L93" s="18" t="s">
        <v>52</v>
      </c>
      <c r="M93" s="18" t="s">
        <v>61</v>
      </c>
    </row>
    <row r="94" spans="1:13" x14ac:dyDescent="0.3">
      <c r="A94" s="18" t="s">
        <v>197</v>
      </c>
      <c r="E94" s="18" t="s">
        <v>59</v>
      </c>
      <c r="F94" s="18" t="s">
        <v>56</v>
      </c>
      <c r="G94" s="18" t="s">
        <v>56</v>
      </c>
      <c r="H94" s="18" t="s">
        <v>71</v>
      </c>
      <c r="I94" s="18" t="s">
        <v>55</v>
      </c>
      <c r="J94" s="18" t="s">
        <v>55</v>
      </c>
      <c r="K94" s="18" t="s">
        <v>179</v>
      </c>
    </row>
    <row r="95" spans="1:13" x14ac:dyDescent="0.3">
      <c r="A95" s="18" t="s">
        <v>220</v>
      </c>
      <c r="E95" s="18" t="s">
        <v>45</v>
      </c>
      <c r="F95" s="18" t="s">
        <v>46</v>
      </c>
      <c r="G95" s="18" t="s">
        <v>47</v>
      </c>
      <c r="H95" s="18" t="s">
        <v>48</v>
      </c>
      <c r="I95" s="18" t="s">
        <v>49</v>
      </c>
      <c r="J95" s="18" t="s">
        <v>50</v>
      </c>
      <c r="K95" s="18" t="s">
        <v>51</v>
      </c>
      <c r="L95" s="18" t="s">
        <v>52</v>
      </c>
      <c r="M95" s="18" t="s">
        <v>61</v>
      </c>
    </row>
    <row r="96" spans="1:13" x14ac:dyDescent="0.3">
      <c r="A96" s="18" t="s">
        <v>197</v>
      </c>
      <c r="E96" s="18" t="s">
        <v>59</v>
      </c>
      <c r="F96" s="18" t="s">
        <v>57</v>
      </c>
      <c r="G96" s="18" t="s">
        <v>66</v>
      </c>
      <c r="H96" s="18" t="s">
        <v>56</v>
      </c>
      <c r="I96" s="18" t="s">
        <v>66</v>
      </c>
      <c r="J96" s="18" t="s">
        <v>58</v>
      </c>
      <c r="K96" s="18" t="s">
        <v>179</v>
      </c>
    </row>
    <row r="97" spans="1:13" x14ac:dyDescent="0.3">
      <c r="A97" s="18" t="s">
        <v>221</v>
      </c>
      <c r="E97" s="18" t="s">
        <v>45</v>
      </c>
      <c r="F97" s="18" t="s">
        <v>46</v>
      </c>
      <c r="G97" s="18" t="s">
        <v>47</v>
      </c>
      <c r="H97" s="18" t="s">
        <v>48</v>
      </c>
      <c r="I97" s="18" t="s">
        <v>49</v>
      </c>
      <c r="J97" s="18" t="s">
        <v>50</v>
      </c>
      <c r="K97" s="18" t="s">
        <v>51</v>
      </c>
      <c r="L97" s="18" t="s">
        <v>52</v>
      </c>
      <c r="M97" s="18" t="s">
        <v>61</v>
      </c>
    </row>
    <row r="98" spans="1:13" x14ac:dyDescent="0.3">
      <c r="A98" s="18" t="s">
        <v>94</v>
      </c>
      <c r="E98" s="18" t="s">
        <v>63</v>
      </c>
      <c r="F98" s="18" t="s">
        <v>57</v>
      </c>
      <c r="G98" s="18" t="s">
        <v>58</v>
      </c>
      <c r="H98" s="18" t="s">
        <v>175</v>
      </c>
      <c r="I98" s="18" t="s">
        <v>58</v>
      </c>
      <c r="J98" s="18" t="s">
        <v>59</v>
      </c>
      <c r="K98" s="18" t="s">
        <v>179</v>
      </c>
    </row>
    <row r="99" spans="1:13" x14ac:dyDescent="0.3">
      <c r="A99" s="18" t="s">
        <v>222</v>
      </c>
      <c r="E99" s="18" t="s">
        <v>45</v>
      </c>
      <c r="F99" s="18" t="s">
        <v>46</v>
      </c>
      <c r="G99" s="18" t="s">
        <v>47</v>
      </c>
      <c r="H99" s="18" t="s">
        <v>48</v>
      </c>
      <c r="I99" s="18" t="s">
        <v>49</v>
      </c>
      <c r="J99" s="18" t="s">
        <v>50</v>
      </c>
      <c r="K99" s="18" t="s">
        <v>51</v>
      </c>
      <c r="L99" s="18" t="s">
        <v>52</v>
      </c>
      <c r="M99" s="18" t="s">
        <v>223</v>
      </c>
    </row>
    <row r="100" spans="1:13" x14ac:dyDescent="0.3">
      <c r="A100" s="18" t="s">
        <v>197</v>
      </c>
      <c r="E100" s="18" t="s">
        <v>58</v>
      </c>
      <c r="F100" s="18" t="s">
        <v>64</v>
      </c>
      <c r="G100" s="18" t="s">
        <v>71</v>
      </c>
      <c r="H100" s="18" t="s">
        <v>55</v>
      </c>
      <c r="I100" s="18" t="s">
        <v>58</v>
      </c>
      <c r="J100" s="18" t="s">
        <v>175</v>
      </c>
      <c r="K100" s="18" t="s">
        <v>179</v>
      </c>
    </row>
    <row r="101" spans="1:13" x14ac:dyDescent="0.3">
      <c r="A101" s="18" t="s">
        <v>224</v>
      </c>
      <c r="E101" s="18" t="s">
        <v>45</v>
      </c>
      <c r="F101" s="18" t="s">
        <v>46</v>
      </c>
      <c r="G101" s="18" t="s">
        <v>47</v>
      </c>
      <c r="H101" s="18" t="s">
        <v>48</v>
      </c>
      <c r="I101" s="18" t="s">
        <v>49</v>
      </c>
      <c r="J101" s="18" t="s">
        <v>50</v>
      </c>
      <c r="K101" s="18" t="s">
        <v>51</v>
      </c>
      <c r="L101" s="18" t="s">
        <v>52</v>
      </c>
      <c r="M101" s="18" t="s">
        <v>61</v>
      </c>
    </row>
    <row r="102" spans="1:13" x14ac:dyDescent="0.3">
      <c r="A102" s="18" t="s">
        <v>94</v>
      </c>
      <c r="E102" s="18" t="s">
        <v>59</v>
      </c>
      <c r="F102" s="18" t="s">
        <v>56</v>
      </c>
      <c r="G102" s="18" t="s">
        <v>56</v>
      </c>
      <c r="H102" s="18" t="s">
        <v>71</v>
      </c>
      <c r="I102" s="18" t="s">
        <v>55</v>
      </c>
      <c r="J102" s="18" t="s">
        <v>55</v>
      </c>
      <c r="K102" s="18" t="s">
        <v>179</v>
      </c>
    </row>
    <row r="103" spans="1:13" x14ac:dyDescent="0.3">
      <c r="A103" s="18" t="s">
        <v>225</v>
      </c>
      <c r="E103" s="18" t="s">
        <v>45</v>
      </c>
      <c r="F103" s="18" t="s">
        <v>46</v>
      </c>
      <c r="G103" s="18" t="s">
        <v>47</v>
      </c>
      <c r="H103" s="18" t="s">
        <v>48</v>
      </c>
      <c r="I103" s="18" t="s">
        <v>49</v>
      </c>
      <c r="J103" s="18" t="s">
        <v>50</v>
      </c>
      <c r="K103" s="18" t="s">
        <v>51</v>
      </c>
      <c r="L103" s="18" t="s">
        <v>52</v>
      </c>
      <c r="M103" s="18" t="s">
        <v>61</v>
      </c>
    </row>
    <row r="104" spans="1:13" x14ac:dyDescent="0.3">
      <c r="A104" s="18" t="s">
        <v>94</v>
      </c>
      <c r="E104" s="18" t="s">
        <v>58</v>
      </c>
      <c r="F104" s="18" t="s">
        <v>65</v>
      </c>
      <c r="G104" s="18" t="s">
        <v>59</v>
      </c>
      <c r="H104" s="18" t="s">
        <v>59</v>
      </c>
      <c r="I104" s="18" t="s">
        <v>54</v>
      </c>
      <c r="J104" s="18" t="s">
        <v>71</v>
      </c>
      <c r="K104" s="18" t="s">
        <v>179</v>
      </c>
    </row>
    <row r="105" spans="1:13" x14ac:dyDescent="0.3">
      <c r="A105" s="18" t="s">
        <v>226</v>
      </c>
      <c r="E105" s="18" t="s">
        <v>45</v>
      </c>
      <c r="F105" s="18" t="s">
        <v>46</v>
      </c>
      <c r="G105" s="18" t="s">
        <v>47</v>
      </c>
      <c r="H105" s="18" t="s">
        <v>48</v>
      </c>
      <c r="I105" s="18" t="s">
        <v>49</v>
      </c>
      <c r="J105" s="18" t="s">
        <v>50</v>
      </c>
      <c r="K105" s="18" t="s">
        <v>51</v>
      </c>
      <c r="L105" s="18" t="s">
        <v>52</v>
      </c>
      <c r="M105" s="18" t="s">
        <v>61</v>
      </c>
    </row>
    <row r="106" spans="1:13" x14ac:dyDescent="0.3">
      <c r="A106" s="18" t="s">
        <v>197</v>
      </c>
      <c r="E106" s="18" t="s">
        <v>59</v>
      </c>
      <c r="F106" s="18" t="s">
        <v>175</v>
      </c>
      <c r="G106" s="18" t="s">
        <v>71</v>
      </c>
      <c r="H106" s="18" t="s">
        <v>69</v>
      </c>
      <c r="I106" s="18" t="s">
        <v>59</v>
      </c>
      <c r="J106" s="18" t="s">
        <v>59</v>
      </c>
      <c r="K106" s="18" t="s">
        <v>179</v>
      </c>
    </row>
    <row r="107" spans="1:13" x14ac:dyDescent="0.3">
      <c r="A107" s="18" t="s">
        <v>227</v>
      </c>
      <c r="E107" s="18" t="s">
        <v>45</v>
      </c>
      <c r="F107" s="18" t="s">
        <v>46</v>
      </c>
      <c r="G107" s="18" t="s">
        <v>47</v>
      </c>
      <c r="H107" s="18" t="s">
        <v>48</v>
      </c>
      <c r="I107" s="18" t="s">
        <v>49</v>
      </c>
      <c r="J107" s="18" t="s">
        <v>50</v>
      </c>
      <c r="K107" s="18" t="s">
        <v>51</v>
      </c>
      <c r="L107" s="18" t="s">
        <v>52</v>
      </c>
      <c r="M107" s="18" t="s">
        <v>196</v>
      </c>
    </row>
    <row r="108" spans="1:13" x14ac:dyDescent="0.3">
      <c r="A108" s="18" t="s">
        <v>62</v>
      </c>
      <c r="E108" s="18" t="s">
        <v>59</v>
      </c>
      <c r="F108" s="18" t="s">
        <v>64</v>
      </c>
      <c r="G108" s="18" t="s">
        <v>74</v>
      </c>
      <c r="H108" s="18" t="s">
        <v>59</v>
      </c>
      <c r="I108" s="18" t="s">
        <v>59</v>
      </c>
      <c r="J108" s="18" t="s">
        <v>59</v>
      </c>
      <c r="K108" s="18" t="s">
        <v>179</v>
      </c>
    </row>
    <row r="109" spans="1:13" x14ac:dyDescent="0.3">
      <c r="A109" s="18" t="s">
        <v>228</v>
      </c>
      <c r="E109" s="18" t="s">
        <v>45</v>
      </c>
      <c r="F109" s="18" t="s">
        <v>46</v>
      </c>
      <c r="G109" s="18" t="s">
        <v>47</v>
      </c>
      <c r="H109" s="18" t="s">
        <v>48</v>
      </c>
      <c r="I109" s="18" t="s">
        <v>49</v>
      </c>
      <c r="J109" s="18" t="s">
        <v>50</v>
      </c>
      <c r="K109" s="18" t="s">
        <v>51</v>
      </c>
      <c r="L109" s="18" t="s">
        <v>52</v>
      </c>
      <c r="M109" s="18" t="s">
        <v>61</v>
      </c>
    </row>
    <row r="110" spans="1:13" x14ac:dyDescent="0.3">
      <c r="A110" s="18" t="s">
        <v>197</v>
      </c>
      <c r="E110" s="18" t="s">
        <v>58</v>
      </c>
      <c r="F110" s="18" t="s">
        <v>65</v>
      </c>
      <c r="G110" s="18" t="s">
        <v>59</v>
      </c>
      <c r="H110" s="18" t="s">
        <v>59</v>
      </c>
      <c r="I110" s="18" t="s">
        <v>54</v>
      </c>
      <c r="J110" s="18" t="s">
        <v>71</v>
      </c>
      <c r="K110" s="18" t="s">
        <v>179</v>
      </c>
    </row>
    <row r="111" spans="1:13" x14ac:dyDescent="0.3">
      <c r="A111" s="18" t="s">
        <v>229</v>
      </c>
      <c r="E111" s="18" t="s">
        <v>45</v>
      </c>
      <c r="F111" s="18" t="s">
        <v>46</v>
      </c>
      <c r="G111" s="18" t="s">
        <v>47</v>
      </c>
      <c r="H111" s="18" t="s">
        <v>48</v>
      </c>
      <c r="I111" s="18" t="s">
        <v>49</v>
      </c>
      <c r="J111" s="18" t="s">
        <v>50</v>
      </c>
      <c r="K111" s="18" t="s">
        <v>51</v>
      </c>
      <c r="L111" s="18" t="s">
        <v>52</v>
      </c>
      <c r="M111" s="18" t="s">
        <v>196</v>
      </c>
    </row>
    <row r="112" spans="1:13" x14ac:dyDescent="0.3">
      <c r="A112" s="18" t="s">
        <v>230</v>
      </c>
      <c r="E112" s="18" t="s">
        <v>59</v>
      </c>
      <c r="F112" s="18" t="s">
        <v>64</v>
      </c>
      <c r="G112" s="18" t="s">
        <v>74</v>
      </c>
      <c r="H112" s="18" t="s">
        <v>59</v>
      </c>
      <c r="I112" s="18" t="s">
        <v>59</v>
      </c>
      <c r="J112" s="18" t="s">
        <v>59</v>
      </c>
      <c r="K112" s="18" t="s">
        <v>179</v>
      </c>
    </row>
    <row r="113" spans="1:13" x14ac:dyDescent="0.3">
      <c r="A113" s="18" t="s">
        <v>231</v>
      </c>
      <c r="E113" s="18" t="s">
        <v>45</v>
      </c>
      <c r="F113" s="18" t="s">
        <v>46</v>
      </c>
      <c r="G113" s="18" t="s">
        <v>47</v>
      </c>
      <c r="H113" s="18" t="s">
        <v>48</v>
      </c>
      <c r="I113" s="18" t="s">
        <v>49</v>
      </c>
      <c r="J113" s="18" t="s">
        <v>50</v>
      </c>
      <c r="K113" s="18" t="s">
        <v>51</v>
      </c>
      <c r="L113" s="18" t="s">
        <v>52</v>
      </c>
      <c r="M113" s="18" t="s">
        <v>61</v>
      </c>
    </row>
    <row r="114" spans="1:13" x14ac:dyDescent="0.3">
      <c r="A114" s="18" t="s">
        <v>94</v>
      </c>
      <c r="E114" s="18" t="s">
        <v>63</v>
      </c>
      <c r="F114" s="18" t="s">
        <v>71</v>
      </c>
      <c r="G114" s="18" t="s">
        <v>58</v>
      </c>
      <c r="H114" s="18" t="s">
        <v>175</v>
      </c>
      <c r="I114" s="18" t="s">
        <v>55</v>
      </c>
      <c r="J114" s="18" t="s">
        <v>59</v>
      </c>
      <c r="K114" s="18" t="s">
        <v>179</v>
      </c>
    </row>
    <row r="115" spans="1:13" x14ac:dyDescent="0.3">
      <c r="A115" s="18" t="s">
        <v>232</v>
      </c>
      <c r="E115" s="18" t="s">
        <v>45</v>
      </c>
      <c r="F115" s="18" t="s">
        <v>46</v>
      </c>
      <c r="G115" s="18" t="s">
        <v>47</v>
      </c>
      <c r="H115" s="18" t="s">
        <v>48</v>
      </c>
      <c r="I115" s="18" t="s">
        <v>49</v>
      </c>
      <c r="J115" s="18" t="s">
        <v>50</v>
      </c>
      <c r="K115" s="18" t="s">
        <v>51</v>
      </c>
      <c r="L115" s="18" t="s">
        <v>52</v>
      </c>
      <c r="M115" s="18" t="s">
        <v>61</v>
      </c>
    </row>
    <row r="116" spans="1:13" x14ac:dyDescent="0.3">
      <c r="A116" s="18" t="s">
        <v>233</v>
      </c>
      <c r="E116" s="18" t="s">
        <v>58</v>
      </c>
      <c r="F116" s="18" t="s">
        <v>65</v>
      </c>
      <c r="G116" s="18" t="s">
        <v>59</v>
      </c>
      <c r="H116" s="18" t="s">
        <v>59</v>
      </c>
      <c r="I116" s="18" t="s">
        <v>54</v>
      </c>
      <c r="J116" s="18" t="s">
        <v>66</v>
      </c>
      <c r="K116" s="18" t="s">
        <v>179</v>
      </c>
    </row>
    <row r="117" spans="1:13" x14ac:dyDescent="0.3">
      <c r="A117" s="18" t="s">
        <v>234</v>
      </c>
      <c r="E117" s="18" t="s">
        <v>45</v>
      </c>
      <c r="F117" s="18" t="s">
        <v>46</v>
      </c>
      <c r="G117" s="18" t="s">
        <v>47</v>
      </c>
      <c r="H117" s="18" t="s">
        <v>48</v>
      </c>
      <c r="I117" s="18" t="s">
        <v>49</v>
      </c>
      <c r="J117" s="18" t="s">
        <v>50</v>
      </c>
      <c r="K117" s="18" t="s">
        <v>51</v>
      </c>
      <c r="L117" s="18" t="s">
        <v>52</v>
      </c>
      <c r="M117" s="18" t="s">
        <v>61</v>
      </c>
    </row>
    <row r="118" spans="1:13" x14ac:dyDescent="0.3">
      <c r="A118" s="18" t="s">
        <v>94</v>
      </c>
      <c r="E118" s="18" t="s">
        <v>59</v>
      </c>
      <c r="F118" s="18" t="s">
        <v>175</v>
      </c>
      <c r="G118" s="18" t="s">
        <v>71</v>
      </c>
      <c r="H118" s="18" t="s">
        <v>235</v>
      </c>
      <c r="I118" s="18" t="s">
        <v>59</v>
      </c>
      <c r="J118" s="18" t="s">
        <v>59</v>
      </c>
      <c r="K118" s="18" t="s">
        <v>179</v>
      </c>
    </row>
    <row r="119" spans="1:13" x14ac:dyDescent="0.3">
      <c r="K119" s="18" t="s">
        <v>277</v>
      </c>
    </row>
    <row r="120" spans="1:13" x14ac:dyDescent="0.3">
      <c r="K120" s="18" t="s">
        <v>278</v>
      </c>
    </row>
    <row r="121" spans="1:13" x14ac:dyDescent="0.3">
      <c r="A121" s="18" t="s">
        <v>236</v>
      </c>
      <c r="K121" s="18" t="s">
        <v>279</v>
      </c>
    </row>
    <row r="122" spans="1:13" x14ac:dyDescent="0.3">
      <c r="A122" s="18" t="s">
        <v>237</v>
      </c>
    </row>
    <row r="123" spans="1:13" x14ac:dyDescent="0.3">
      <c r="A123" s="18" t="s">
        <v>238</v>
      </c>
      <c r="C123" s="18">
        <f>(6*23+10*25+6*22+37*24)/(59*25)*100</f>
        <v>95.457627118644069</v>
      </c>
      <c r="E123" s="18" t="s">
        <v>239</v>
      </c>
      <c r="F123" s="18" t="s">
        <v>240</v>
      </c>
      <c r="G123" s="18" t="s">
        <v>241</v>
      </c>
      <c r="H123" s="18" t="s">
        <v>242</v>
      </c>
      <c r="I123" s="18" t="s">
        <v>243</v>
      </c>
      <c r="J123" s="18" t="s">
        <v>244</v>
      </c>
      <c r="K123" s="18" t="s">
        <v>245</v>
      </c>
      <c r="L123" s="18" t="s">
        <v>246</v>
      </c>
    </row>
    <row r="124" spans="1:13" x14ac:dyDescent="0.3">
      <c r="A124" s="18" t="s">
        <v>247</v>
      </c>
      <c r="E124" s="18" t="s">
        <v>270</v>
      </c>
      <c r="F124" s="18" t="s">
        <v>270</v>
      </c>
      <c r="G124" s="18" t="s">
        <v>271</v>
      </c>
      <c r="H124" s="18" t="s">
        <v>270</v>
      </c>
      <c r="I124" s="18" t="s">
        <v>270</v>
      </c>
      <c r="J124" s="18" t="s">
        <v>274</v>
      </c>
      <c r="K124" s="18" t="s">
        <v>272</v>
      </c>
      <c r="L124" s="18" t="s">
        <v>273</v>
      </c>
    </row>
    <row r="125" spans="1:13" x14ac:dyDescent="0.3">
      <c r="A125" s="18" t="s">
        <v>248</v>
      </c>
    </row>
    <row r="127" spans="1:13" x14ac:dyDescent="0.3">
      <c r="F127" s="18" t="b">
        <f>'test %'!C31=383+89</f>
        <v>0</v>
      </c>
    </row>
    <row r="137" spans="1:8" x14ac:dyDescent="0.3">
      <c r="A137" s="18" t="s">
        <v>39</v>
      </c>
      <c r="B137" s="18" t="s">
        <v>263</v>
      </c>
      <c r="C137" s="18" t="s">
        <v>264</v>
      </c>
      <c r="D137" s="18" t="s">
        <v>265</v>
      </c>
      <c r="E137" s="18" t="s">
        <v>37</v>
      </c>
      <c r="F137" s="18" t="s">
        <v>263</v>
      </c>
      <c r="G137" s="18" t="s">
        <v>264</v>
      </c>
      <c r="H137" s="18" t="s">
        <v>265</v>
      </c>
    </row>
    <row r="139" spans="1:8" x14ac:dyDescent="0.3">
      <c r="B139" s="18" t="s">
        <v>266</v>
      </c>
    </row>
    <row r="140" spans="1:8" x14ac:dyDescent="0.3">
      <c r="B140" s="18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ABAE-6718-4FA3-9C59-9BFEFA2E235C}">
  <dimension ref="A1:W55"/>
  <sheetViews>
    <sheetView tabSelected="1" topLeftCell="A14" zoomScaleNormal="100" workbookViewId="0">
      <selection activeCell="C33" sqref="C33"/>
    </sheetView>
  </sheetViews>
  <sheetFormatPr defaultRowHeight="14.4" x14ac:dyDescent="0.3"/>
  <cols>
    <col min="1" max="1" width="10.109375" customWidth="1"/>
    <col min="2" max="2" width="35.109375" customWidth="1"/>
    <col min="3" max="3" width="19.6640625" bestFit="1" customWidth="1"/>
    <col min="12" max="12" width="10.44140625" bestFit="1" customWidth="1"/>
    <col min="22" max="22" width="15.21875" bestFit="1" customWidth="1"/>
    <col min="23" max="23" width="13.109375" bestFit="1" customWidth="1"/>
  </cols>
  <sheetData>
    <row r="1" spans="1:18" ht="15" thickBot="1" x14ac:dyDescent="0.35">
      <c r="A1" s="25" t="s">
        <v>43</v>
      </c>
      <c r="E1" s="71"/>
      <c r="F1" s="55" t="s">
        <v>250</v>
      </c>
      <c r="G1" s="56" t="s">
        <v>251</v>
      </c>
      <c r="H1" s="54" t="s">
        <v>252</v>
      </c>
      <c r="I1" s="53" t="s">
        <v>253</v>
      </c>
      <c r="J1" s="72" t="s">
        <v>255</v>
      </c>
      <c r="K1" s="52" t="s">
        <v>254</v>
      </c>
      <c r="L1" s="73" t="s">
        <v>256</v>
      </c>
      <c r="M1" s="42" t="s">
        <v>258</v>
      </c>
      <c r="N1" s="74" t="s">
        <v>257</v>
      </c>
    </row>
    <row r="2" spans="1:18" ht="15" thickBot="1" x14ac:dyDescent="0.35">
      <c r="A2" s="3">
        <v>17</v>
      </c>
      <c r="B2" t="s">
        <v>288</v>
      </c>
      <c r="C2" s="117" t="s">
        <v>287</v>
      </c>
      <c r="D2">
        <v>1</v>
      </c>
      <c r="E2">
        <v>24</v>
      </c>
      <c r="F2">
        <v>5</v>
      </c>
      <c r="G2">
        <v>5</v>
      </c>
      <c r="H2">
        <v>3</v>
      </c>
      <c r="I2">
        <v>4</v>
      </c>
      <c r="J2">
        <v>6</v>
      </c>
      <c r="L2">
        <v>1</v>
      </c>
      <c r="O2">
        <f t="shared" ref="O2:O18" si="0">SUM(F2:N2)</f>
        <v>24</v>
      </c>
    </row>
    <row r="3" spans="1:18" ht="15" thickBot="1" x14ac:dyDescent="0.35">
      <c r="A3" s="3">
        <v>19</v>
      </c>
      <c r="B3" t="s">
        <v>290</v>
      </c>
      <c r="C3" s="117" t="s">
        <v>283</v>
      </c>
      <c r="D3">
        <v>1</v>
      </c>
      <c r="E3">
        <v>24</v>
      </c>
      <c r="F3">
        <v>5</v>
      </c>
      <c r="G3">
        <v>1</v>
      </c>
      <c r="H3">
        <v>3</v>
      </c>
      <c r="I3">
        <v>10</v>
      </c>
      <c r="J3">
        <v>2</v>
      </c>
      <c r="K3">
        <v>3</v>
      </c>
      <c r="O3">
        <f t="shared" si="0"/>
        <v>24</v>
      </c>
    </row>
    <row r="4" spans="1:18" ht="15" thickBot="1" x14ac:dyDescent="0.35">
      <c r="A4" s="3">
        <v>26</v>
      </c>
      <c r="B4" s="69" t="s">
        <v>117</v>
      </c>
      <c r="E4">
        <v>25</v>
      </c>
      <c r="G4">
        <v>9</v>
      </c>
      <c r="H4">
        <v>10</v>
      </c>
      <c r="I4">
        <v>4</v>
      </c>
      <c r="K4">
        <v>1</v>
      </c>
      <c r="L4">
        <v>1</v>
      </c>
      <c r="O4">
        <f t="shared" si="0"/>
        <v>25</v>
      </c>
    </row>
    <row r="5" spans="1:18" ht="15" thickBot="1" x14ac:dyDescent="0.35">
      <c r="A5" s="3">
        <v>28</v>
      </c>
      <c r="B5" t="s">
        <v>280</v>
      </c>
      <c r="C5" s="117" t="s">
        <v>330</v>
      </c>
      <c r="D5">
        <v>1</v>
      </c>
      <c r="E5">
        <v>24</v>
      </c>
      <c r="F5">
        <v>5</v>
      </c>
      <c r="H5">
        <v>1</v>
      </c>
      <c r="I5">
        <v>7</v>
      </c>
      <c r="J5">
        <v>9</v>
      </c>
      <c r="K5">
        <v>2</v>
      </c>
      <c r="O5">
        <f t="shared" si="0"/>
        <v>24</v>
      </c>
    </row>
    <row r="6" spans="1:18" ht="15" thickBot="1" x14ac:dyDescent="0.35">
      <c r="A6" s="3">
        <v>30</v>
      </c>
      <c r="B6" t="s">
        <v>281</v>
      </c>
      <c r="C6" s="117" t="s">
        <v>286</v>
      </c>
      <c r="D6">
        <v>1</v>
      </c>
      <c r="E6">
        <v>24</v>
      </c>
      <c r="G6">
        <v>9</v>
      </c>
      <c r="H6">
        <v>10</v>
      </c>
      <c r="I6">
        <v>4</v>
      </c>
      <c r="K6">
        <v>1</v>
      </c>
      <c r="O6">
        <f t="shared" si="0"/>
        <v>24</v>
      </c>
    </row>
    <row r="7" spans="1:18" ht="15" thickBot="1" x14ac:dyDescent="0.35">
      <c r="A7" s="3">
        <v>33</v>
      </c>
      <c r="B7" t="s">
        <v>289</v>
      </c>
      <c r="C7" s="117" t="s">
        <v>331</v>
      </c>
      <c r="D7">
        <v>1</v>
      </c>
      <c r="E7">
        <v>23</v>
      </c>
      <c r="F7">
        <v>1</v>
      </c>
      <c r="G7">
        <v>6</v>
      </c>
      <c r="H7">
        <v>7</v>
      </c>
      <c r="I7">
        <v>6</v>
      </c>
      <c r="J7">
        <v>2</v>
      </c>
      <c r="M7">
        <v>1</v>
      </c>
      <c r="O7">
        <f t="shared" si="0"/>
        <v>23</v>
      </c>
    </row>
    <row r="8" spans="1:18" ht="15" thickBot="1" x14ac:dyDescent="0.35">
      <c r="A8" s="3">
        <v>39</v>
      </c>
      <c r="B8" t="s">
        <v>302</v>
      </c>
      <c r="C8" s="117" t="s">
        <v>332</v>
      </c>
      <c r="D8">
        <v>1</v>
      </c>
      <c r="E8">
        <v>22</v>
      </c>
      <c r="G8">
        <v>5</v>
      </c>
      <c r="H8">
        <v>5</v>
      </c>
      <c r="I8">
        <v>6</v>
      </c>
      <c r="J8">
        <v>3</v>
      </c>
      <c r="K8">
        <v>3</v>
      </c>
      <c r="O8">
        <f t="shared" si="0"/>
        <v>22</v>
      </c>
    </row>
    <row r="9" spans="1:18" ht="15" thickBot="1" x14ac:dyDescent="0.35">
      <c r="A9" s="3">
        <v>46</v>
      </c>
      <c r="B9" t="s">
        <v>281</v>
      </c>
      <c r="C9" s="117" t="s">
        <v>286</v>
      </c>
      <c r="D9">
        <v>1</v>
      </c>
      <c r="E9">
        <v>24</v>
      </c>
      <c r="G9">
        <v>5</v>
      </c>
      <c r="H9">
        <v>9</v>
      </c>
      <c r="I9">
        <v>8</v>
      </c>
      <c r="J9">
        <v>1</v>
      </c>
      <c r="K9">
        <v>1</v>
      </c>
      <c r="O9">
        <f t="shared" si="0"/>
        <v>24</v>
      </c>
    </row>
    <row r="10" spans="1:18" ht="15" thickBot="1" x14ac:dyDescent="0.35">
      <c r="A10" s="3">
        <v>49</v>
      </c>
      <c r="B10" t="s">
        <v>290</v>
      </c>
      <c r="C10" s="117" t="s">
        <v>283</v>
      </c>
      <c r="D10">
        <v>1</v>
      </c>
      <c r="E10">
        <v>24</v>
      </c>
      <c r="F10">
        <v>3</v>
      </c>
      <c r="G10">
        <v>7</v>
      </c>
      <c r="H10">
        <v>7</v>
      </c>
      <c r="I10">
        <v>5</v>
      </c>
      <c r="J10">
        <v>1</v>
      </c>
      <c r="K10">
        <v>1</v>
      </c>
      <c r="O10">
        <f t="shared" si="0"/>
        <v>24</v>
      </c>
    </row>
    <row r="11" spans="1:18" ht="15" thickBot="1" x14ac:dyDescent="0.35">
      <c r="A11" s="3">
        <v>51</v>
      </c>
      <c r="B11" t="s">
        <v>280</v>
      </c>
      <c r="C11" s="117" t="s">
        <v>285</v>
      </c>
      <c r="D11">
        <v>1</v>
      </c>
      <c r="E11">
        <v>24</v>
      </c>
      <c r="F11">
        <v>8</v>
      </c>
      <c r="G11">
        <v>4</v>
      </c>
      <c r="H11">
        <v>4</v>
      </c>
      <c r="I11">
        <v>6</v>
      </c>
      <c r="J11">
        <v>1</v>
      </c>
      <c r="K11">
        <v>1</v>
      </c>
      <c r="O11">
        <f t="shared" si="0"/>
        <v>24</v>
      </c>
    </row>
    <row r="12" spans="1:18" ht="15" thickBot="1" x14ac:dyDescent="0.35">
      <c r="A12" s="3">
        <v>54</v>
      </c>
      <c r="B12" t="s">
        <v>294</v>
      </c>
      <c r="C12" s="117" t="s">
        <v>293</v>
      </c>
      <c r="D12">
        <v>1</v>
      </c>
      <c r="E12">
        <v>22</v>
      </c>
      <c r="F12">
        <v>2</v>
      </c>
      <c r="G12">
        <v>6</v>
      </c>
      <c r="H12">
        <v>6</v>
      </c>
      <c r="I12">
        <v>5</v>
      </c>
      <c r="J12">
        <v>1</v>
      </c>
      <c r="K12">
        <v>2</v>
      </c>
      <c r="O12">
        <f t="shared" si="0"/>
        <v>22</v>
      </c>
    </row>
    <row r="13" spans="1:18" ht="15" thickBot="1" x14ac:dyDescent="0.35">
      <c r="A13" s="3">
        <v>56</v>
      </c>
      <c r="B13" t="s">
        <v>291</v>
      </c>
      <c r="C13" s="117" t="s">
        <v>282</v>
      </c>
      <c r="D13">
        <v>1</v>
      </c>
      <c r="E13">
        <v>23</v>
      </c>
      <c r="G13">
        <v>8</v>
      </c>
      <c r="H13">
        <v>5</v>
      </c>
      <c r="I13">
        <v>4</v>
      </c>
      <c r="J13">
        <v>5</v>
      </c>
      <c r="K13">
        <v>1</v>
      </c>
      <c r="O13">
        <f t="shared" si="0"/>
        <v>23</v>
      </c>
    </row>
    <row r="14" spans="1:18" ht="15" thickBot="1" x14ac:dyDescent="0.35">
      <c r="A14" s="3">
        <v>64</v>
      </c>
      <c r="B14" t="s">
        <v>290</v>
      </c>
      <c r="C14" s="117" t="s">
        <v>284</v>
      </c>
      <c r="D14">
        <v>1</v>
      </c>
      <c r="E14">
        <v>24</v>
      </c>
      <c r="H14">
        <v>14</v>
      </c>
      <c r="I14">
        <v>10</v>
      </c>
      <c r="O14">
        <f t="shared" si="0"/>
        <v>24</v>
      </c>
    </row>
    <row r="15" spans="1:18" ht="15" thickBot="1" x14ac:dyDescent="0.35">
      <c r="A15" s="3">
        <v>65</v>
      </c>
      <c r="B15" t="s">
        <v>292</v>
      </c>
      <c r="C15" t="s">
        <v>301</v>
      </c>
      <c r="D15">
        <v>1</v>
      </c>
      <c r="E15">
        <v>23</v>
      </c>
      <c r="F15">
        <v>11</v>
      </c>
      <c r="G15">
        <v>3</v>
      </c>
      <c r="H15">
        <v>2</v>
      </c>
      <c r="I15">
        <v>6</v>
      </c>
      <c r="J15">
        <v>1</v>
      </c>
      <c r="O15">
        <f t="shared" si="0"/>
        <v>23</v>
      </c>
    </row>
    <row r="16" spans="1:18" x14ac:dyDescent="0.3">
      <c r="A16" s="70">
        <v>70</v>
      </c>
      <c r="B16" t="s">
        <v>288</v>
      </c>
      <c r="C16" t="s">
        <v>284</v>
      </c>
      <c r="D16">
        <v>1</v>
      </c>
      <c r="E16">
        <v>24</v>
      </c>
      <c r="G16">
        <v>15</v>
      </c>
      <c r="H16">
        <v>6</v>
      </c>
      <c r="I16">
        <v>3</v>
      </c>
      <c r="O16">
        <f t="shared" si="0"/>
        <v>24</v>
      </c>
      <c r="R16">
        <f>SUM(F2:M16)</f>
        <v>354</v>
      </c>
    </row>
    <row r="18" spans="1:23" ht="15" thickBot="1" x14ac:dyDescent="0.35">
      <c r="G18" t="s">
        <v>259</v>
      </c>
      <c r="O18">
        <f t="shared" si="0"/>
        <v>0</v>
      </c>
    </row>
    <row r="19" spans="1:23" ht="15" thickBot="1" x14ac:dyDescent="0.35">
      <c r="F19" t="s">
        <v>260</v>
      </c>
      <c r="G19" s="71"/>
      <c r="H19" s="86" t="s">
        <v>250</v>
      </c>
      <c r="I19" s="87" t="s">
        <v>251</v>
      </c>
      <c r="J19" s="88" t="s">
        <v>252</v>
      </c>
      <c r="K19" s="89" t="s">
        <v>253</v>
      </c>
      <c r="L19" s="72" t="s">
        <v>255</v>
      </c>
      <c r="M19" s="90" t="s">
        <v>254</v>
      </c>
      <c r="N19" s="73" t="s">
        <v>256</v>
      </c>
      <c r="O19" s="42" t="s">
        <v>258</v>
      </c>
      <c r="P19" s="74" t="s">
        <v>257</v>
      </c>
    </row>
    <row r="20" spans="1:23" x14ac:dyDescent="0.3">
      <c r="A20" t="s">
        <v>295</v>
      </c>
      <c r="B20">
        <f>15*25</f>
        <v>375</v>
      </c>
      <c r="C20" t="s">
        <v>299</v>
      </c>
      <c r="F20" t="s">
        <v>261</v>
      </c>
      <c r="G20" s="75" t="s">
        <v>250</v>
      </c>
      <c r="H20" s="91">
        <f>SUM(F2:F17)</f>
        <v>40</v>
      </c>
      <c r="I20" s="51">
        <v>0</v>
      </c>
      <c r="J20" s="108">
        <v>2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76">
        <v>0</v>
      </c>
      <c r="Q20" s="18"/>
      <c r="V20" s="102" t="s">
        <v>327</v>
      </c>
      <c r="W20" s="103" t="s">
        <v>328</v>
      </c>
    </row>
    <row r="21" spans="1:23" x14ac:dyDescent="0.3">
      <c r="A21" t="s">
        <v>296</v>
      </c>
      <c r="B21">
        <f>9*24+3*23+2*22+1*25</f>
        <v>354</v>
      </c>
      <c r="C21" t="s">
        <v>299</v>
      </c>
      <c r="F21" t="s">
        <v>261</v>
      </c>
      <c r="G21" s="77" t="s">
        <v>251</v>
      </c>
      <c r="H21" s="47">
        <v>0</v>
      </c>
      <c r="I21" s="50">
        <f>SUM(G2:G17)</f>
        <v>83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112">
        <v>1</v>
      </c>
      <c r="Q21" s="18"/>
      <c r="V21" s="106" t="s">
        <v>38</v>
      </c>
      <c r="W21" s="104" t="s">
        <v>34</v>
      </c>
    </row>
    <row r="22" spans="1:23" x14ac:dyDescent="0.3">
      <c r="A22" t="s">
        <v>297</v>
      </c>
      <c r="B22">
        <f>B20-B21</f>
        <v>21</v>
      </c>
      <c r="C22" t="s">
        <v>299</v>
      </c>
      <c r="F22" t="s">
        <v>262</v>
      </c>
      <c r="G22" s="79" t="s">
        <v>252</v>
      </c>
      <c r="H22" s="109">
        <v>1</v>
      </c>
      <c r="I22" s="50">
        <v>0</v>
      </c>
      <c r="J22" s="50">
        <f>SUM(H2:H17)</f>
        <v>92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112">
        <v>1</v>
      </c>
      <c r="Q22" s="18"/>
      <c r="V22" s="106" t="s">
        <v>35</v>
      </c>
      <c r="W22" s="104" t="s">
        <v>35</v>
      </c>
    </row>
    <row r="23" spans="1:23" x14ac:dyDescent="0.3">
      <c r="D23">
        <f>SUM(H20:P27)-H20-I21-J22-K23-L24-M25-N26</f>
        <v>22</v>
      </c>
      <c r="G23" s="80" t="s">
        <v>253</v>
      </c>
      <c r="H23" s="47">
        <v>0</v>
      </c>
      <c r="I23" s="50">
        <v>0</v>
      </c>
      <c r="J23" s="50">
        <v>0</v>
      </c>
      <c r="K23" s="50">
        <f>SUM(I2:I17)</f>
        <v>88</v>
      </c>
      <c r="L23" s="50">
        <v>0</v>
      </c>
      <c r="M23" s="50">
        <v>0</v>
      </c>
      <c r="N23" s="50">
        <v>0</v>
      </c>
      <c r="O23" s="50">
        <v>0</v>
      </c>
      <c r="P23" s="78">
        <v>0</v>
      </c>
      <c r="Q23" s="18"/>
      <c r="V23" s="106" t="s">
        <v>36</v>
      </c>
      <c r="W23" s="104" t="s">
        <v>36</v>
      </c>
    </row>
    <row r="24" spans="1:23" x14ac:dyDescent="0.3">
      <c r="A24" t="s">
        <v>300</v>
      </c>
      <c r="B24">
        <f>100-21/375*100</f>
        <v>94.4</v>
      </c>
      <c r="C24" t="s">
        <v>298</v>
      </c>
      <c r="G24" s="81" t="s">
        <v>255</v>
      </c>
      <c r="H24" s="47">
        <v>0</v>
      </c>
      <c r="I24" s="50">
        <v>0</v>
      </c>
      <c r="J24" s="50">
        <v>0</v>
      </c>
      <c r="K24" s="50">
        <v>0</v>
      </c>
      <c r="L24" s="50">
        <f>SUM(J2:J17)</f>
        <v>32</v>
      </c>
      <c r="M24" s="50">
        <v>0</v>
      </c>
      <c r="N24" s="50">
        <v>0</v>
      </c>
      <c r="O24" s="50">
        <v>0</v>
      </c>
      <c r="P24" s="78">
        <v>0</v>
      </c>
      <c r="Q24" s="18"/>
      <c r="V24" s="106" t="s">
        <v>329</v>
      </c>
      <c r="W24" s="104" t="s">
        <v>39</v>
      </c>
    </row>
    <row r="25" spans="1:23" x14ac:dyDescent="0.3">
      <c r="G25" s="82" t="s">
        <v>254</v>
      </c>
      <c r="H25" s="47">
        <v>0</v>
      </c>
      <c r="I25" s="50">
        <v>0</v>
      </c>
      <c r="J25" s="50">
        <v>0</v>
      </c>
      <c r="K25" s="50">
        <v>0</v>
      </c>
      <c r="L25" s="113">
        <v>2</v>
      </c>
      <c r="M25" s="50">
        <f>SUM(K2:K17)</f>
        <v>16</v>
      </c>
      <c r="N25" s="50">
        <v>0</v>
      </c>
      <c r="O25" s="50">
        <v>0</v>
      </c>
      <c r="P25" s="78">
        <v>0</v>
      </c>
      <c r="Q25" s="18"/>
      <c r="V25" s="106" t="s">
        <v>39</v>
      </c>
      <c r="W25" s="104" t="s">
        <v>37</v>
      </c>
    </row>
    <row r="26" spans="1:23" x14ac:dyDescent="0.3">
      <c r="F26" s="10"/>
      <c r="G26" s="83" t="s">
        <v>256</v>
      </c>
      <c r="H26" s="47">
        <v>0</v>
      </c>
      <c r="I26" s="50">
        <v>0</v>
      </c>
      <c r="J26" s="110">
        <f>D6+D7+D9+D12</f>
        <v>4</v>
      </c>
      <c r="K26" s="50">
        <v>0</v>
      </c>
      <c r="L26" s="110">
        <f>D3+D10+D14++D16+D15+D13</f>
        <v>6</v>
      </c>
      <c r="M26" s="110">
        <v>1</v>
      </c>
      <c r="N26" s="50">
        <f>SUM(L2:L16)</f>
        <v>2</v>
      </c>
      <c r="O26" s="50">
        <v>0</v>
      </c>
      <c r="P26" s="111">
        <v>2</v>
      </c>
      <c r="Q26" s="115">
        <f>SUM(J26:P26)</f>
        <v>15</v>
      </c>
      <c r="V26" s="106" t="s">
        <v>37</v>
      </c>
      <c r="W26" s="104" t="s">
        <v>38</v>
      </c>
    </row>
    <row r="27" spans="1:23" ht="15" thickBot="1" x14ac:dyDescent="0.35">
      <c r="G27" s="84" t="s">
        <v>258</v>
      </c>
      <c r="H27" s="46">
        <v>0</v>
      </c>
      <c r="I27" s="49">
        <v>0</v>
      </c>
      <c r="J27" s="49">
        <v>0</v>
      </c>
      <c r="K27" s="114">
        <v>1</v>
      </c>
      <c r="L27" s="49">
        <v>0</v>
      </c>
      <c r="M27" s="49">
        <v>0</v>
      </c>
      <c r="N27" s="49">
        <v>0</v>
      </c>
      <c r="O27" s="49">
        <v>1</v>
      </c>
      <c r="P27" s="85">
        <v>0</v>
      </c>
      <c r="Q27" s="18"/>
      <c r="V27" s="106" t="s">
        <v>41</v>
      </c>
      <c r="W27" s="104" t="s">
        <v>41</v>
      </c>
    </row>
    <row r="28" spans="1:23" ht="15" thickBot="1" x14ac:dyDescent="0.35">
      <c r="Q28" s="18"/>
      <c r="V28" s="107" t="s">
        <v>40</v>
      </c>
      <c r="W28" s="105" t="s">
        <v>40</v>
      </c>
    </row>
    <row r="29" spans="1:23" x14ac:dyDescent="0.3">
      <c r="P29">
        <f>SUM(H20:P27)</f>
        <v>375</v>
      </c>
      <c r="Q29" s="18"/>
    </row>
    <row r="30" spans="1:23" x14ac:dyDescent="0.3">
      <c r="F30" s="18"/>
      <c r="G30" s="18"/>
      <c r="H30" s="18"/>
      <c r="I30" s="116">
        <f>H22+J20+J26+L26+M26+P26+P22+P21+K27+L25</f>
        <v>21</v>
      </c>
      <c r="J30" s="115"/>
      <c r="K30" s="18"/>
      <c r="L30" s="18"/>
      <c r="M30" s="18"/>
      <c r="N30" s="18"/>
      <c r="O30" s="18"/>
      <c r="P30" s="18"/>
      <c r="Q30" s="18"/>
    </row>
    <row r="33" spans="3:10" x14ac:dyDescent="0.3">
      <c r="C33">
        <f>383+89</f>
        <v>472</v>
      </c>
      <c r="J33">
        <f>L24+H20+I2+I21+K23+L241+J22+M25+N26</f>
        <v>357</v>
      </c>
    </row>
    <row r="38" spans="3:10" ht="15" thickBot="1" x14ac:dyDescent="0.35"/>
    <row r="39" spans="3:10" ht="43.8" thickBot="1" x14ac:dyDescent="0.35">
      <c r="E39" s="92" t="s">
        <v>303</v>
      </c>
      <c r="F39" s="93" t="s">
        <v>304</v>
      </c>
      <c r="G39" s="93" t="s">
        <v>305</v>
      </c>
      <c r="H39" s="93"/>
      <c r="I39" s="94"/>
    </row>
    <row r="40" spans="3:10" ht="15" customHeight="1" thickBot="1" x14ac:dyDescent="0.35">
      <c r="E40" s="118" t="s">
        <v>306</v>
      </c>
      <c r="F40" s="119"/>
      <c r="G40" s="119"/>
      <c r="H40" s="119"/>
      <c r="I40" s="120"/>
    </row>
    <row r="41" spans="3:10" ht="43.8" thickBot="1" x14ac:dyDescent="0.35">
      <c r="E41" s="95">
        <v>1</v>
      </c>
      <c r="F41" s="96" t="s">
        <v>307</v>
      </c>
      <c r="G41" s="96" t="s">
        <v>308</v>
      </c>
      <c r="H41" s="96"/>
      <c r="I41" s="97"/>
    </row>
    <row r="42" spans="3:10" ht="101.4" thickBot="1" x14ac:dyDescent="0.35">
      <c r="E42" s="95">
        <v>2</v>
      </c>
      <c r="F42" s="96" t="s">
        <v>309</v>
      </c>
      <c r="G42" s="96" t="s">
        <v>308</v>
      </c>
      <c r="H42" s="96"/>
      <c r="I42" s="97"/>
    </row>
    <row r="43" spans="3:10" ht="43.8" thickBot="1" x14ac:dyDescent="0.35">
      <c r="E43" s="95">
        <v>3</v>
      </c>
      <c r="F43" s="96" t="s">
        <v>310</v>
      </c>
      <c r="G43" s="96" t="s">
        <v>308</v>
      </c>
      <c r="H43" s="96"/>
      <c r="I43" s="97"/>
    </row>
    <row r="44" spans="3:10" ht="43.8" thickBot="1" x14ac:dyDescent="0.35">
      <c r="E44" s="95">
        <v>4</v>
      </c>
      <c r="F44" s="96" t="s">
        <v>311</v>
      </c>
      <c r="G44" s="96" t="s">
        <v>308</v>
      </c>
      <c r="H44" s="96"/>
      <c r="I44" s="97"/>
    </row>
    <row r="45" spans="3:10" ht="87" thickBot="1" x14ac:dyDescent="0.35">
      <c r="E45" s="95">
        <v>5</v>
      </c>
      <c r="F45" s="96" t="s">
        <v>312</v>
      </c>
      <c r="G45" s="96" t="s">
        <v>308</v>
      </c>
      <c r="H45" s="96"/>
      <c r="I45" s="94"/>
    </row>
    <row r="46" spans="3:10" ht="15" customHeight="1" thickBot="1" x14ac:dyDescent="0.35">
      <c r="E46" s="99" t="s">
        <v>313</v>
      </c>
      <c r="F46" s="100"/>
      <c r="G46" s="100"/>
      <c r="H46" s="100"/>
      <c r="I46" s="101"/>
    </row>
    <row r="47" spans="3:10" ht="144.6" thickBot="1" x14ac:dyDescent="0.35">
      <c r="E47" s="95">
        <v>6</v>
      </c>
      <c r="F47" s="96" t="s">
        <v>314</v>
      </c>
      <c r="G47" s="96" t="s">
        <v>315</v>
      </c>
      <c r="H47" s="96"/>
      <c r="I47" s="97"/>
    </row>
    <row r="48" spans="3:10" ht="187.8" thickBot="1" x14ac:dyDescent="0.35">
      <c r="E48" s="95">
        <v>7</v>
      </c>
      <c r="F48" s="96" t="s">
        <v>316</v>
      </c>
      <c r="G48" s="96" t="s">
        <v>317</v>
      </c>
      <c r="H48" s="96"/>
      <c r="I48" s="94"/>
    </row>
    <row r="49" spans="5:9" ht="15" customHeight="1" thickBot="1" x14ac:dyDescent="0.35">
      <c r="E49" s="121" t="s">
        <v>318</v>
      </c>
      <c r="F49" s="122"/>
      <c r="G49" s="122"/>
      <c r="H49" s="122"/>
      <c r="I49" s="123"/>
    </row>
    <row r="50" spans="5:9" ht="130.19999999999999" thickBot="1" x14ac:dyDescent="0.35">
      <c r="E50" s="95">
        <v>8</v>
      </c>
      <c r="F50" s="96" t="s">
        <v>319</v>
      </c>
      <c r="G50" s="96"/>
      <c r="H50" s="96"/>
      <c r="I50" s="94"/>
    </row>
    <row r="51" spans="5:9" ht="15" customHeight="1" thickBot="1" x14ac:dyDescent="0.35">
      <c r="E51" s="124" t="s">
        <v>320</v>
      </c>
      <c r="F51" s="125"/>
      <c r="G51" s="125"/>
      <c r="H51" s="125"/>
      <c r="I51" s="126"/>
    </row>
    <row r="52" spans="5:9" ht="58.2" thickBot="1" x14ac:dyDescent="0.35">
      <c r="E52" s="95">
        <v>9</v>
      </c>
      <c r="F52" s="96" t="s">
        <v>321</v>
      </c>
      <c r="G52" s="96" t="s">
        <v>322</v>
      </c>
      <c r="H52" s="96"/>
      <c r="I52" s="97"/>
    </row>
    <row r="53" spans="5:9" ht="115.8" thickBot="1" x14ac:dyDescent="0.35">
      <c r="E53" s="95">
        <v>10</v>
      </c>
      <c r="F53" s="96" t="s">
        <v>323</v>
      </c>
      <c r="G53" s="96" t="s">
        <v>324</v>
      </c>
      <c r="H53" s="96"/>
      <c r="I53" s="97"/>
    </row>
    <row r="54" spans="5:9" ht="144.6" thickBot="1" x14ac:dyDescent="0.35">
      <c r="E54" s="95">
        <v>11</v>
      </c>
      <c r="F54" s="96" t="s">
        <v>325</v>
      </c>
      <c r="G54" s="96" t="s">
        <v>326</v>
      </c>
      <c r="H54" s="96"/>
      <c r="I54" s="97"/>
    </row>
    <row r="55" spans="5:9" x14ac:dyDescent="0.3">
      <c r="E55" s="98"/>
    </row>
  </sheetData>
  <mergeCells count="3">
    <mergeCell ref="E40:I40"/>
    <mergeCell ref="E49:I49"/>
    <mergeCell ref="E51:I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A86788D005154C927D3A704BFF3DB5" ma:contentTypeVersion="3" ma:contentTypeDescription="Opret et nyt dokument." ma:contentTypeScope="" ma:versionID="457c19a8ff627302276c966e23713ca3">
  <xsd:schema xmlns:xsd="http://www.w3.org/2001/XMLSchema" xmlns:xs="http://www.w3.org/2001/XMLSchema" xmlns:p="http://schemas.microsoft.com/office/2006/metadata/properties" xmlns:ns2="bd680c14-f023-497d-8cbe-0bbbf7c13df7" targetNamespace="http://schemas.microsoft.com/office/2006/metadata/properties" ma:root="true" ma:fieldsID="5d9fbaad8883aef56c87a7ea14e2ee6d" ns2:_="">
    <xsd:import namespace="bd680c14-f023-497d-8cbe-0bbbf7c13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80c14-f023-497d-8cbe-0bbbf7c13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2B4B83-B54C-4DB2-8178-9F87B30129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A822B1-0444-45AF-B0F2-99146CF43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680c14-f023-497d-8cbe-0bbbf7c13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73964D-5328-4F55-99E1-B1175CFD410D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purl.org/dc/dcmitype/"/>
    <ds:schemaRef ds:uri="bd680c14-f023-497d-8cbe-0bbbf7c13d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Ark1</vt:lpstr>
      <vt:lpstr>Hue graf</vt:lpstr>
      <vt:lpstr>RANDOM TRÆNINGS SÆT</vt:lpstr>
      <vt:lpstr>%</vt:lpstr>
      <vt:lpstr>test %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Juhl Schramm</cp:lastModifiedBy>
  <cp:revision/>
  <dcterms:created xsi:type="dcterms:W3CDTF">2025-09-08T08:38:18Z</dcterms:created>
  <dcterms:modified xsi:type="dcterms:W3CDTF">2026-03-01T22:50:47Z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0x010100C5A86788D005154C927D3A704BFF3DB5</vt:lpwstr>
  </property>
</Properties>
</file>